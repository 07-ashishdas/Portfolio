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C:\SHYCI SWARUP SPEC\SHYCI\Salary\SALARY 202512 onwards with Slips\202603 IAS&amp;Payslip\"/>
    </mc:Choice>
  </mc:AlternateContent>
  <xr:revisionPtr revIDLastSave="0" documentId="8_{8B67D898-923E-41B7-911B-92B2E3E7DE75}" xr6:coauthVersionLast="47" xr6:coauthVersionMax="47" xr10:uidLastSave="{00000000-0000-0000-0000-000000000000}"/>
  <bookViews>
    <workbookView xWindow="-113" yWindow="-113" windowWidth="24267" windowHeight="13023" tabRatio="674" xr2:uid="{00000000-000D-0000-FFFF-FFFF00000000}" activeTab="0"/>
  </bookViews>
  <sheets>
    <sheet name="ASD" sheetId="27" r:id="rId1"/>
  </sheets>
  <definedNames>
    <definedName name="_xlnm.Print_Area" localSheetId="0">SRD!$A$1:$O$47</definedName>
  </definedNames>
  <calcPr calcId="191028" calcMode="auto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Swarup</author>
  </authors>
  <commentList>
    <comment ref="F5" authorId="0" shapeId="0" xr:uid="{00000000-0006-0000-1100-000001000000}">
      <text>
        <r>
          <rPr>
            <b/>
            <sz val="9"/>
            <rFont val="Tahoma"/>
            <family val="2"/>
          </rPr>
          <t xml:space="preserve">Help: </t>
        </r>
        <r>
          <rPr>
            <sz val="9"/>
            <rFont val="Tahoma"/>
            <family val="2"/>
          </rPr>
          <t>Add 24h for next day exit. Example: exit at 5:45AM next morning to be entered as 29:45:00
Display will still be in hour of day format. Add remarks.</t>
        </r>
      </text>
    </comment>
    <comment ref="G5" authorId="0" shapeId="0" xr:uid="{00000000-0006-0000-1100-000002000000}">
      <text>
        <r>
          <rPr>
            <sz val="9"/>
            <color indexed="81"/>
            <rFont val="Arial Narrow"/>
            <family val="2"/>
          </rPr>
          <t xml:space="preserve">Help:
H: Holiday
W: Normal working Day
P: Present (see Legends)
C: Continuous Duty
S: Short duty / half day leave
L: Leave
A: Absent
</t>
        </r>
      </text>
    </comment>
    <comment ref="J39" authorId="0" shapeId="0" xr:uid="{00000000-0006-0000-1100-000003000000}">
      <text>
        <r>
          <rPr>
            <b/>
            <sz val="9"/>
            <rFont val="Tahoma"/>
            <family val="2"/>
          </rPr>
          <t xml:space="preserve">Help: </t>
        </r>
        <r>
          <rPr>
            <sz val="9"/>
            <rFont val="Tahoma"/>
            <family val="2"/>
          </rPr>
          <t xml:space="preserve">For 31 days duty in a month, put </t>
        </r>
        <r>
          <rPr>
            <b/>
            <sz val="9"/>
            <rFont val="Tahoma"/>
            <family val="2"/>
          </rPr>
          <t>-1</t>
        </r>
        <r>
          <rPr>
            <sz val="9"/>
            <rFont val="Tahoma"/>
            <family val="2"/>
          </rPr>
          <t xml:space="preserve">.
For more than 15 days duty in Feb, put </t>
        </r>
        <r>
          <rPr>
            <b/>
            <sz val="9"/>
            <rFont val="Tahoma"/>
            <family val="2"/>
          </rPr>
          <t>1</t>
        </r>
        <r>
          <rPr>
            <sz val="9"/>
            <rFont val="Tahoma"/>
            <family val="2"/>
          </rPr>
          <t xml:space="preserve"> for 29 days and </t>
        </r>
        <r>
          <rPr>
            <b/>
            <sz val="9"/>
            <rFont val="Tahoma"/>
            <family val="2"/>
          </rPr>
          <t>2</t>
        </r>
        <r>
          <rPr>
            <sz val="9"/>
            <rFont val="Tahoma"/>
            <family val="2"/>
          </rPr>
          <t xml:space="preserve"> for 28 days</t>
        </r>
      </text>
    </comment>
  </commentList>
</comments>
</file>

<file path=xl/sharedStrings.xml><?xml version="1.0" encoding="utf-8"?>
<sst xmlns="http://schemas.openxmlformats.org/spreadsheetml/2006/main">
  <si>
    <t>Off-site Technical Co-ordinationation Services</t>
  </si>
  <si>
    <t>Entry - Exit Time at Sites of HYC</t>
  </si>
  <si>
    <t>Employee ID, abbreviation &amp; Name</t>
  </si>
  <si>
    <t>IN101001</t>
  </si>
  <si>
    <t>SRD</t>
  </si>
  <si>
    <t>Swarup Dutta</t>
  </si>
  <si>
    <t>Time verified with</t>
  </si>
  <si>
    <t>Google Timeline</t>
  </si>
  <si>
    <t>Verified by</t>
  </si>
  <si>
    <t>Swarup</t>
  </si>
  <si>
    <t>Period</t>
  </si>
  <si>
    <t>to</t>
  </si>
  <si>
    <t>SL No.</t>
  </si>
  <si>
    <t>Date</t>
  </si>
  <si>
    <t>Day</t>
  </si>
  <si>
    <t>Entry Time
as per gate record</t>
  </si>
  <si>
    <t>Exit Time as per gate record</t>
  </si>
  <si>
    <r>
      <rPr/>
      <t xml:space="preserve">Work / Holiday </t>
    </r>
    <r>
      <rPr>
        <sz val="10.5"/>
        <color theme="1"/>
        <rFont val="Arial Narrow"/>
        <family val="2"/>
      </rPr>
      <t>*</t>
    </r>
  </si>
  <si>
    <t>Recess hrs</t>
  </si>
  <si>
    <t>Normal Duty hrs</t>
  </si>
  <si>
    <t>Pay Days</t>
  </si>
  <si>
    <t>Total Hours</t>
  </si>
  <si>
    <t>Site</t>
  </si>
  <si>
    <t>Remarks</t>
  </si>
  <si>
    <t>Leave</t>
  </si>
  <si>
    <t>Absent</t>
  </si>
  <si>
    <t>Check</t>
  </si>
  <si>
    <t>* Legends</t>
  </si>
  <si>
    <t>Overtime is NOT mandatory. It is assessed, done &amp; reported by the employee with own consent.</t>
  </si>
  <si>
    <t>H</t>
  </si>
  <si>
    <t>Holiday</t>
  </si>
  <si>
    <t>Adjust for 28/29/31 days month</t>
  </si>
  <si>
    <t>P</t>
  </si>
  <si>
    <t>Present :No Extra Time (Standby/Transit/Office)</t>
  </si>
  <si>
    <t>Days</t>
  </si>
  <si>
    <t>Rounded Down to negate chances of minor anomalies with time manually recorded at gates</t>
  </si>
  <si>
    <t>W</t>
  </si>
  <si>
    <t>Normal Working day</t>
  </si>
  <si>
    <t>Battery</t>
  </si>
  <si>
    <t>C</t>
  </si>
  <si>
    <t>Continuous Duty</t>
  </si>
  <si>
    <t>Display</t>
  </si>
  <si>
    <t>L</t>
  </si>
  <si>
    <t>Transit / Other</t>
  </si>
  <si>
    <t xml:space="preserve">Only Site Duties are Recorded Here </t>
  </si>
  <si>
    <t>S</t>
  </si>
  <si>
    <t>Short duty / half day leave</t>
  </si>
  <si>
    <t>Office</t>
  </si>
  <si>
    <t>D</t>
  </si>
  <si>
    <t>Demi / half day absent</t>
  </si>
  <si>
    <t>A</t>
  </si>
  <si>
    <t xml:space="preserve">Absent </t>
  </si>
  <si>
    <t xml:space="preserve">IN111003</t>
  </si>
  <si>
    <t xml:space="preserve">ASD</t>
  </si>
  <si>
    <t xml:space="preserve">Ashish Das</t>
  </si>
  <si>
    <r>
      <rPr/>
      <t xml:space="preserve">Work / Holiday </t>
    </r>
    <r>
      <rPr>
        <sz val="10.5"/>
        <color theme="1"/>
        <rFont val="Arial Narrow"/>
        <family val="2"/>
      </rPr>
      <t>*</t>
    </r>
  </si>
  <si>
    <t xml:space="preserve">NVTI</t>
  </si>
  <si>
    <t xml:space="preserve">SUNDAY HOLIDAY</t>
  </si>
  <si>
    <t xml:space="preserve">NVTI-HOSTEL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</si>
</sst>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yyyy/mm/dd"/>
    <numFmt numFmtId="165" formatCode="ddd"/>
    <numFmt numFmtId="166" formatCode="h:mm:ss;@"/>
    <numFmt numFmtId="167" formatCode="yyyy\-mm\-dd"/>
    <numFmt numFmtId="168" formatCode="[h]:mm:ss;@"/>
    <numFmt numFmtId="169" formatCode="dd/mmm/yyyy"/>
    <numFmt numFmtId="170" formatCode="h:mm;@"/>
    <numFmt numFmtId="171" formatCode="0.0"/>
    <numFmt numFmtId="172" formatCode="[h]:mm"/>
    <numFmt numFmtId="173" formatCode="dd-mmm-yyyy"/>
    <numFmt numFmtId="174" formatCode="hh:mm:ss"/>
  </numFmts>
  <fonts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9"/>
      <color rgb="FF000000"/>
      <name val="Arial Narrow"/>
      <family val="2"/>
    </font>
    <font>
      <sz val="10"/>
      <color rgb="FF000000"/>
      <name val="Arial Narrow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5"/>
      <color theme="1"/>
      <name val="Arial Narrow"/>
      <family val="2"/>
    </font>
    <font>
      <sz val="10.5"/>
      <color theme="1"/>
      <name val="Arial Narrow"/>
      <family val="2"/>
    </font>
    <font>
      <b/>
      <sz val="10.5"/>
      <color theme="1"/>
      <name val="Arial Narrow"/>
      <family val="2"/>
    </font>
    <font>
      <b/>
      <sz val="12"/>
      <color theme="1"/>
      <name val="Arial Narrow"/>
      <family val="2"/>
    </font>
    <font>
      <sz val="9"/>
      <color indexed="81"/>
      <name val="Arial Narrow"/>
      <family val="2"/>
    </font>
    <font>
      <sz val="6"/>
      <color theme="1"/>
      <name val="Arial Narrow"/>
      <family val="2"/>
    </font>
    <font>
      <sz val="11"/>
      <name val="Calibri"/>
      <family val="2"/>
    </font>
    <font>
      <sz val="10"/>
      <color indexed="8"/>
      <name val="Arial Narrow"/>
      <family val="2"/>
    </font>
    <font>
      <sz val="11"/>
      <name val="Calibri"/>
      <family val="2"/>
      <scheme val="minor"/>
    </font>
    <font>
      <sz val="9"/>
      <color theme="1"/>
      <name val="Agency FB"/>
      <family val="2"/>
    </font>
    <font>
      <sz val="10"/>
      <color theme="1"/>
      <name val="Agency FB"/>
      <family val="2"/>
    </font>
    <font>
      <sz val="10.5"/>
      <color theme="1"/>
      <name val="Agency FB"/>
      <family val="2"/>
    </font>
    <font>
      <sz val="6"/>
      <color theme="0" tint="-0.14999847407452621"/>
      <name val="Arial Narrow"/>
      <family val="2"/>
    </font>
    <font>
      <sz val="10"/>
      <color indexed="8"/>
      <name val="Arial"/>
      <family val="2"/>
    </font>
    <font>
      <sz val="9"/>
      <color theme="1"/>
      <name val="Aptos Narrow"/>
      <family val="2"/>
    </font>
    <font>
      <sz val="11"/>
      <color theme="1"/>
      <name val="Aptos Narrow"/>
      <family val="2"/>
    </font>
    <font>
      <b/>
      <sz val="9"/>
      <color rgb="FF000000"/>
      <name val="Arial Narrow"/>
      <family val="2"/>
    </font>
    <font>
      <sz val="10"/>
      <color theme="0" tint="-0.14999847407452621"/>
      <name val="Arial Narrow"/>
      <family val="2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9"/>
      <color rgb="FF000000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 Narrow"/>
      <family val="2"/>
    </font>
    <font>
      <sz val="10.5"/>
      <color theme="1"/>
      <name val="Arial Narrow"/>
      <family val="2"/>
    </font>
    <font>
      <sz val="10.5"/>
      <color theme="1"/>
      <name val="Arial Narrow"/>
      <family val="2"/>
    </font>
  </fonts>
  <fills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indexed="64"/>
      </patternFill>
    </fill>
  </fills>
  <borders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23" fillId="0" borderId="0">
      <alignment vertical="center"/>
    </xf>
    <xf numFmtId="0" fontId="5" fillId="0" borderId="0"/>
    <xf numFmtId="0" fontId="25" fillId="0" borderId="0"/>
    <xf numFmtId="0" fontId="4" fillId="0" borderId="0"/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/>
    <xf numFmtId="0" fontId="35" fillId="0" borderId="0">
      <alignment vertical="center"/>
    </xf>
  </cellStyleXfs>
  <cellXfs>
    <xf numFmtId="0" fontId="0" fillId="0" borderId="0" xfId="0">
      <alignment vertical="center"/>
    </xf>
    <xf numFmtId="0" fontId="14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7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>
      <alignment vertical="center"/>
    </xf>
    <xf numFmtId="166" fontId="18" fillId="0" borderId="21" xfId="0" applyNumberFormat="1" applyFont="1" applyBorder="1" applyAlignment="1">
      <alignment horizontal="left" vertical="center"/>
    </xf>
    <xf numFmtId="46" fontId="8" fillId="0" borderId="0" xfId="0" applyNumberFormat="1" applyFont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0" xfId="0" applyFo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168" fontId="29" fillId="0" borderId="20" xfId="0" applyNumberFormat="1" applyFont="1" applyBorder="1" applyAlignment="1">
      <alignment horizontal="right" vertical="center"/>
    </xf>
    <xf numFmtId="2" fontId="29" fillId="0" borderId="0" xfId="0" applyNumberFormat="1" applyFont="1">
      <alignment vertical="center"/>
    </xf>
    <xf numFmtId="168" fontId="29" fillId="0" borderId="0" xfId="0" applyNumberFormat="1" applyFont="1" applyAlignment="1">
      <alignment horizontal="right" vertical="center"/>
    </xf>
    <xf numFmtId="1" fontId="18" fillId="0" borderId="4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16" fillId="3" borderId="42" xfId="0" applyFont="1" applyFill="1" applyBorder="1" applyAlignment="1">
      <alignment horizontal="center" vertical="center"/>
    </xf>
    <xf numFmtId="0" fontId="16" fillId="3" borderId="43" xfId="0" applyFont="1" applyFill="1" applyBorder="1" applyAlignment="1">
      <alignment horizontal="left" vertical="center"/>
    </xf>
    <xf numFmtId="0" fontId="34" fillId="0" borderId="20" xfId="0" applyFont="1" applyBorder="1">
      <alignment vertical="center"/>
    </xf>
    <xf numFmtId="0" fontId="34" fillId="0" borderId="20" xfId="0" applyFont="1" applyBorder="1" applyAlignment="1">
      <alignment horizontal="right" vertical="center"/>
    </xf>
    <xf numFmtId="165" fontId="7" fillId="0" borderId="41" xfId="0" applyNumberFormat="1" applyFont="1" applyBorder="1" applyAlignment="1">
      <alignment horizontal="center" vertical="center"/>
    </xf>
    <xf numFmtId="166" fontId="7" fillId="2" borderId="41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2" fontId="28" fillId="5" borderId="41" xfId="0" applyNumberFormat="1" applyFont="1" applyFill="1" applyBorder="1" applyAlignment="1">
      <alignment horizontal="center" vertical="center"/>
    </xf>
    <xf numFmtId="2" fontId="28" fillId="5" borderId="8" xfId="0" applyNumberFormat="1" applyFont="1" applyFill="1" applyBorder="1" applyAlignment="1">
      <alignment horizontal="center" vertical="center"/>
    </xf>
    <xf numFmtId="167" fontId="8" fillId="0" borderId="13" xfId="0" applyNumberFormat="1" applyFont="1" applyBorder="1" applyAlignment="1">
      <alignment horizontal="center" vertical="center"/>
    </xf>
    <xf numFmtId="166" fontId="26" fillId="0" borderId="34" xfId="0" applyNumberFormat="1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166" fontId="18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21" fontId="8" fillId="0" borderId="13" xfId="0" applyNumberFormat="1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66" fontId="7" fillId="0" borderId="19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14" fillId="0" borderId="14" xfId="0" applyFont="1" applyBorder="1">
      <alignment vertical="center"/>
    </xf>
    <xf numFmtId="0" fontId="6" fillId="0" borderId="45" xfId="0" applyFont="1" applyBorder="1" applyAlignment="1">
      <alignment vertical="center" wrapText="1"/>
    </xf>
    <xf numFmtId="0" fontId="14" fillId="0" borderId="20" xfId="0" applyFont="1" applyBorder="1">
      <alignment vertical="center"/>
    </xf>
    <xf numFmtId="166" fontId="7" fillId="0" borderId="46" xfId="0" applyNumberFormat="1" applyFont="1" applyBorder="1" applyAlignment="1">
      <alignment horizontal="right" vertical="center"/>
    </xf>
    <xf numFmtId="0" fontId="14" fillId="0" borderId="29" xfId="0" applyFont="1" applyBorder="1">
      <alignment vertical="center"/>
    </xf>
    <xf numFmtId="0" fontId="31" fillId="0" borderId="37" xfId="0" applyFont="1" applyBorder="1" applyAlignment="1">
      <alignment horizontal="right" vertical="center"/>
    </xf>
    <xf numFmtId="169" fontId="15" fillId="4" borderId="2" xfId="0" applyNumberFormat="1" applyFont="1" applyFill="1" applyBorder="1" applyAlignment="1">
      <alignment horizontal="right" vertical="center"/>
    </xf>
    <xf numFmtId="17" fontId="15" fillId="4" borderId="2" xfId="0" applyNumberFormat="1" applyFont="1" applyFill="1" applyBorder="1" applyAlignment="1">
      <alignment horizontal="center" vertical="center"/>
    </xf>
    <xf numFmtId="169" fontId="33" fillId="4" borderId="14" xfId="0" applyNumberFormat="1" applyFont="1" applyFill="1" applyBorder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27" fillId="0" borderId="41" xfId="0" applyFont="1" applyBorder="1" applyAlignment="1">
      <alignment horizontal="center" vertical="center"/>
    </xf>
    <xf numFmtId="166" fontId="18" fillId="0" borderId="0" xfId="0" applyNumberFormat="1" applyFont="1">
      <alignment vertical="center"/>
    </xf>
    <xf numFmtId="170" fontId="18" fillId="0" borderId="13" xfId="0" applyNumberFormat="1" applyFont="1" applyBorder="1" applyAlignment="1">
      <alignment horizontal="center" vertical="center"/>
    </xf>
    <xf numFmtId="170" fontId="18" fillId="0" borderId="41" xfId="0" applyNumberFormat="1" applyFont="1" applyBorder="1" applyAlignment="1">
      <alignment horizontal="center" vertical="center"/>
    </xf>
    <xf numFmtId="170" fontId="18" fillId="2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textRotation="90" wrapText="1"/>
    </xf>
    <xf numFmtId="0" fontId="18" fillId="0" borderId="0" xfId="0" applyFont="1" applyAlignment="1">
      <alignment horizontal="left" vertical="center" textRotation="90" wrapText="1"/>
    </xf>
    <xf numFmtId="171" fontId="26" fillId="0" borderId="0" xfId="0" applyNumberFormat="1" applyFont="1">
      <alignment vertical="center"/>
    </xf>
    <xf numFmtId="164" fontId="11" fillId="0" borderId="41" xfId="0" applyNumberFormat="1" applyFont="1" applyBorder="1" applyAlignment="1">
      <alignment horizontal="center" vertical="center"/>
    </xf>
    <xf numFmtId="172" fontId="18" fillId="0" borderId="0" xfId="0" applyNumberFormat="1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8" fontId="22" fillId="0" borderId="2" xfId="0" applyNumberFormat="1" applyFont="1" applyBorder="1" applyAlignment="1">
      <alignment horizontal="right" vertical="center"/>
    </xf>
    <xf numFmtId="167" fontId="15" fillId="0" borderId="38" xfId="0" applyNumberFormat="1" applyFont="1" applyBorder="1" applyAlignment="1">
      <alignment horizontal="left" vertical="center"/>
    </xf>
    <xf numFmtId="0" fontId="1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67" fontId="7" fillId="0" borderId="8" xfId="0" applyNumberFormat="1" applyFont="1" applyBorder="1" applyAlignment="1">
      <alignment horizontal="left" vertical="center" wrapText="1"/>
    </xf>
    <xf numFmtId="0" fontId="0" fillId="0" borderId="8" xfId="0" applyBorder="1" applyAlignment="1">
      <alignment vertical="center"/>
    </xf>
    <xf numFmtId="0" fontId="0" fillId="0" borderId="30" xfId="0" applyBorder="1" applyAlignment="1">
      <alignment vertical="center"/>
    </xf>
    <xf numFmtId="0" fontId="31" fillId="0" borderId="47" xfId="0" applyFont="1" applyBorder="1" applyAlignment="1">
      <alignment horizontal="right" vertical="center"/>
    </xf>
    <xf numFmtId="0" fontId="32" fillId="0" borderId="36" xfId="0" applyFont="1" applyBorder="1" applyAlignment="1">
      <alignment horizontal="right" vertical="center"/>
    </xf>
    <xf numFmtId="0" fontId="31" fillId="0" borderId="36" xfId="0" applyFont="1" applyBorder="1" applyAlignment="1">
      <alignment horizontal="left" vertical="center"/>
    </xf>
    <xf numFmtId="0" fontId="32" fillId="0" borderId="36" xfId="0" applyFont="1" applyBorder="1" applyAlignment="1">
      <alignment horizontal="left" vertical="center"/>
    </xf>
    <xf numFmtId="0" fontId="15" fillId="0" borderId="36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14" fillId="0" borderId="44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4" fillId="0" borderId="44" xfId="0" applyFont="1" applyBorder="1" applyAlignment="1">
      <alignment vertical="center"/>
    </xf>
    <xf numFmtId="166" fontId="10" fillId="0" borderId="18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16" fillId="0" borderId="39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66" fontId="10" fillId="0" borderId="17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67" fontId="7" fillId="0" borderId="13" xfId="0" applyNumberFormat="1" applyFont="1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68" fontId="22" fillId="0" borderId="14" xfId="0" applyNumberFormat="1" applyFont="1" applyBorder="1" applyAlignment="1">
      <alignment horizontal="right" vertical="center"/>
    </xf>
    <xf numFmtId="46" fontId="27" fillId="0" borderId="45" xfId="0" applyNumberFormat="1" applyFont="1" applyBorder="1" applyAlignment="1">
      <alignment horizontal="left" vertical="center"/>
    </xf>
    <xf numFmtId="46" fontId="27" fillId="0" borderId="20" xfId="0" applyNumberFormat="1" applyFont="1" applyBorder="1" applyAlignment="1">
      <alignment horizontal="left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21" fontId="30" fillId="6" borderId="16" xfId="0" applyNumberFormat="1" applyFont="1" applyFill="1" applyBorder="1" applyAlignment="1">
      <alignment horizontal="center" vertical="center"/>
    </xf>
    <xf numFmtId="21" fontId="30" fillId="6" borderId="48" xfId="0" applyNumberFormat="1" applyFont="1" applyFill="1" applyBorder="1" applyAlignment="1">
      <alignment horizontal="center" vertical="center"/>
    </xf>
    <xf numFmtId="21" fontId="30" fillId="6" borderId="30" xfId="0" applyNumberFormat="1" applyFont="1" applyFill="1" applyBorder="1" applyAlignment="1">
      <alignment horizontal="center" vertical="center"/>
    </xf>
    <xf numFmtId="21" fontId="30" fillId="6" borderId="49" xfId="0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24" fillId="6" borderId="31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173" fontId="36" fillId="7" borderId="50" xfId="0" applyNumberFormat="1" applyFont="1" applyFill="1" applyBorder="1" applyAlignment="1">
      <alignment horizontal="right" vertical="center"/>
    </xf>
    <xf numFmtId="173" fontId="37" fillId="8" borderId="51" xfId="0" applyNumberFormat="1" applyFont="1" applyFill="1" applyBorder="1" applyAlignment="1">
      <alignment horizontal="left" vertical="center"/>
    </xf>
    <xf numFmtId="49" fontId="38" fillId="9" borderId="52" xfId="0" applyNumberFormat="1" applyFont="1" applyFill="1" applyBorder="1" applyAlignment="1">
      <alignment horizontal="center" vertical="center"/>
    </xf>
    <xf numFmtId="49" fontId="39" fillId="10" borderId="53" xfId="0" applyFont="1" applyFill="1" applyBorder="1" applyAlignment="1">
      <alignment horizontal="center" vertical="center" wrapText="1"/>
    </xf>
    <xf numFmtId="174" fontId="40" fillId="11" borderId="54" xfId="0" applyNumberFormat="1" applyFont="1" applyFill="1" applyBorder="1" applyAlignment="1">
      <alignment horizontal="center" vertical="center"/>
    </xf>
    <xf numFmtId="174" fontId="41" fillId="12" borderId="55" xfId="0" applyNumberFormat="1" applyFont="1" applyFill="1" applyBorder="1" applyAlignment="1">
      <alignment horizontal="center" vertical="center"/>
    </xf>
    <xf numFmtId="49" fontId="42" fillId="13" borderId="56" xfId="0" applyNumberFormat="1" applyFont="1" applyFill="1" applyBorder="1" applyAlignment="1">
      <alignment horizontal="center" vertical="center"/>
    </xf>
    <xf numFmtId="49" fontId="43" fillId="14" borderId="57" xfId="0" applyFont="1" applyFill="1" applyBorder="1" applyAlignment="1">
      <alignment horizontal="center" vertical="center" wrapText="1"/>
    </xf>
    <xf numFmtId="174" fontId="44" fillId="15" borderId="58" xfId="0" applyNumberFormat="1" applyFont="1" applyFill="1" applyBorder="1" applyAlignment="1">
      <alignment horizontal="center" vertical="center"/>
    </xf>
    <xf numFmtId="174" fontId="45" fillId="16" borderId="59" xfId="0" applyNumberFormat="1" applyFont="1" applyFill="1" applyBorder="1" applyAlignment="1">
      <alignment horizontal="center" vertical="center"/>
    </xf>
    <xf numFmtId="49" fontId="46" fillId="17" borderId="60" xfId="0" applyNumberFormat="1" applyFont="1" applyFill="1" applyBorder="1" applyAlignment="1">
      <alignment horizontal="center" vertical="center"/>
    </xf>
    <xf numFmtId="49" fontId="47" fillId="18" borderId="61" xfId="0" applyFont="1" applyFill="1" applyBorder="1" applyAlignment="1">
      <alignment horizontal="center" vertical="center" wrapText="1"/>
    </xf>
    <xf numFmtId="174" fontId="48" fillId="19" borderId="62" xfId="0" applyNumberFormat="1" applyFont="1" applyFill="1" applyBorder="1" applyAlignment="1">
      <alignment horizontal="center" vertical="center"/>
    </xf>
    <xf numFmtId="174" fontId="49" fillId="20" borderId="63" xfId="0" applyNumberFormat="1" applyFont="1" applyFill="1" applyBorder="1" applyAlignment="1">
      <alignment horizontal="center" vertical="center"/>
    </xf>
    <xf numFmtId="49" fontId="50" fillId="21" borderId="64" xfId="0" applyNumberFormat="1" applyFont="1" applyFill="1" applyBorder="1" applyAlignment="1">
      <alignment horizontal="center" vertical="center"/>
    </xf>
    <xf numFmtId="49" fontId="51" fillId="22" borderId="65" xfId="0" applyFont="1" applyFill="1" applyBorder="1" applyAlignment="1">
      <alignment horizontal="center" vertical="center" wrapText="1"/>
    </xf>
    <xf numFmtId="174" fontId="52" fillId="23" borderId="66" xfId="0" applyNumberFormat="1" applyFont="1" applyFill="1" applyBorder="1" applyAlignment="1">
      <alignment horizontal="center" vertical="center"/>
    </xf>
    <xf numFmtId="174" fontId="53" fillId="24" borderId="67" xfId="0" applyNumberFormat="1" applyFont="1" applyFill="1" applyBorder="1" applyAlignment="1">
      <alignment horizontal="center" vertical="center"/>
    </xf>
    <xf numFmtId="49" fontId="54" fillId="25" borderId="68" xfId="0" applyNumberFormat="1" applyFont="1" applyFill="1" applyBorder="1" applyAlignment="1">
      <alignment horizontal="center" vertical="center"/>
    </xf>
    <xf numFmtId="49" fontId="55" fillId="26" borderId="69" xfId="0" applyFont="1" applyFill="1" applyBorder="1" applyAlignment="1">
      <alignment horizontal="center" vertical="center" wrapText="1"/>
    </xf>
    <xf numFmtId="49" fontId="56" fillId="27" borderId="70" xfId="0" applyNumberFormat="1" applyFont="1" applyFill="1" applyBorder="1" applyAlignment="1">
      <alignment horizontal="center" vertical="center"/>
    </xf>
    <xf numFmtId="49" fontId="57" fillId="28" borderId="71" xfId="0" applyFont="1" applyFill="1" applyBorder="1" applyAlignment="1">
      <alignment horizontal="center" vertical="center" wrapText="1"/>
    </xf>
    <xf numFmtId="174" fontId="58" fillId="29" borderId="72" xfId="0" applyNumberFormat="1" applyFont="1" applyFill="1" applyBorder="1" applyAlignment="1">
      <alignment horizontal="center" vertical="center"/>
    </xf>
    <xf numFmtId="174" fontId="59" fillId="30" borderId="73" xfId="0" applyNumberFormat="1" applyFont="1" applyFill="1" applyBorder="1" applyAlignment="1">
      <alignment horizontal="center" vertical="center"/>
    </xf>
    <xf numFmtId="49" fontId="60" fillId="31" borderId="74" xfId="0" applyNumberFormat="1" applyFont="1" applyFill="1" applyBorder="1" applyAlignment="1">
      <alignment horizontal="center" vertical="center"/>
    </xf>
    <xf numFmtId="49" fontId="61" fillId="32" borderId="75" xfId="0" applyFont="1" applyFill="1" applyBorder="1" applyAlignment="1">
      <alignment horizontal="center" vertical="center" wrapText="1"/>
    </xf>
    <xf numFmtId="174" fontId="62" fillId="33" borderId="76" xfId="0" applyNumberFormat="1" applyFont="1" applyFill="1" applyBorder="1" applyAlignment="1">
      <alignment horizontal="center" vertical="center"/>
    </xf>
    <xf numFmtId="174" fontId="63" fillId="34" borderId="77" xfId="0" applyNumberFormat="1" applyFont="1" applyFill="1" applyBorder="1" applyAlignment="1">
      <alignment horizontal="center" vertical="center"/>
    </xf>
    <xf numFmtId="49" fontId="64" fillId="35" borderId="78" xfId="0" applyNumberFormat="1" applyFont="1" applyFill="1" applyBorder="1" applyAlignment="1">
      <alignment horizontal="center" vertical="center"/>
    </xf>
    <xf numFmtId="49" fontId="65" fillId="36" borderId="79" xfId="0" applyFont="1" applyFill="1" applyBorder="1" applyAlignment="1">
      <alignment horizontal="center" vertical="center" wrapText="1"/>
    </xf>
    <xf numFmtId="174" fontId="66" fillId="37" borderId="80" xfId="0" applyNumberFormat="1" applyFont="1" applyFill="1" applyBorder="1" applyAlignment="1">
      <alignment horizontal="center" vertical="center"/>
    </xf>
    <xf numFmtId="174" fontId="67" fillId="38" borderId="81" xfId="0" applyNumberFormat="1" applyFont="1" applyFill="1" applyBorder="1" applyAlignment="1">
      <alignment horizontal="center" vertical="center"/>
    </xf>
    <xf numFmtId="49" fontId="68" fillId="39" borderId="82" xfId="0" applyNumberFormat="1" applyFont="1" applyFill="1" applyBorder="1" applyAlignment="1">
      <alignment horizontal="center" vertical="center"/>
    </xf>
    <xf numFmtId="49" fontId="69" fillId="40" borderId="83" xfId="0" applyFont="1" applyFill="1" applyBorder="1" applyAlignment="1">
      <alignment horizontal="center" vertical="center" wrapText="1"/>
    </xf>
    <xf numFmtId="174" fontId="70" fillId="41" borderId="84" xfId="0" applyNumberFormat="1" applyFont="1" applyFill="1" applyBorder="1" applyAlignment="1">
      <alignment horizontal="center" vertical="center"/>
    </xf>
    <xf numFmtId="174" fontId="71" fillId="42" borderId="85" xfId="0" applyNumberFormat="1" applyFont="1" applyFill="1" applyBorder="1" applyAlignment="1">
      <alignment horizontal="center" vertical="center"/>
    </xf>
    <xf numFmtId="49" fontId="72" fillId="43" borderId="86" xfId="0" applyNumberFormat="1" applyFont="1" applyFill="1" applyBorder="1" applyAlignment="1">
      <alignment horizontal="center" vertical="center"/>
    </xf>
    <xf numFmtId="49" fontId="73" fillId="44" borderId="87" xfId="0" applyFont="1" applyFill="1" applyBorder="1" applyAlignment="1">
      <alignment horizontal="center" vertical="center" wrapText="1"/>
    </xf>
    <xf numFmtId="174" fontId="74" fillId="45" borderId="88" xfId="0" applyNumberFormat="1" applyFont="1" applyFill="1" applyBorder="1" applyAlignment="1">
      <alignment horizontal="center" vertical="center"/>
    </xf>
    <xf numFmtId="174" fontId="75" fillId="46" borderId="89" xfId="0" applyNumberFormat="1" applyFont="1" applyFill="1" applyBorder="1" applyAlignment="1">
      <alignment horizontal="center" vertical="center"/>
    </xf>
    <xf numFmtId="49" fontId="76" fillId="47" borderId="90" xfId="0" applyNumberFormat="1" applyFont="1" applyFill="1" applyBorder="1" applyAlignment="1">
      <alignment horizontal="center" vertical="center"/>
    </xf>
    <xf numFmtId="49" fontId="77" fillId="48" borderId="91" xfId="0" applyFont="1" applyFill="1" applyBorder="1" applyAlignment="1">
      <alignment horizontal="center" vertical="center" wrapText="1"/>
    </xf>
    <xf numFmtId="174" fontId="78" fillId="49" borderId="92" xfId="0" applyNumberFormat="1" applyFont="1" applyFill="1" applyBorder="1" applyAlignment="1">
      <alignment horizontal="center" vertical="center"/>
    </xf>
    <xf numFmtId="174" fontId="79" fillId="50" borderId="93" xfId="0" applyNumberFormat="1" applyFont="1" applyFill="1" applyBorder="1" applyAlignment="1">
      <alignment horizontal="center" vertical="center"/>
    </xf>
    <xf numFmtId="49" fontId="80" fillId="51" borderId="94" xfId="0" applyNumberFormat="1" applyFont="1" applyFill="1" applyBorder="1" applyAlignment="1">
      <alignment horizontal="center" vertical="center"/>
    </xf>
    <xf numFmtId="49" fontId="81" fillId="52" borderId="95" xfId="0" applyFont="1" applyFill="1" applyBorder="1" applyAlignment="1">
      <alignment horizontal="center" vertical="center" wrapText="1"/>
    </xf>
    <xf numFmtId="49" fontId="82" fillId="53" borderId="96" xfId="0" applyNumberFormat="1" applyFont="1" applyFill="1" applyBorder="1" applyAlignment="1">
      <alignment horizontal="center" vertical="center"/>
    </xf>
    <xf numFmtId="49" fontId="83" fillId="54" borderId="97" xfId="0" applyFont="1" applyFill="1" applyBorder="1" applyAlignment="1">
      <alignment horizontal="center" vertical="center" wrapText="1"/>
    </xf>
    <xf numFmtId="174" fontId="84" fillId="55" borderId="98" xfId="0" applyNumberFormat="1" applyFont="1" applyFill="1" applyBorder="1" applyAlignment="1">
      <alignment horizontal="center" vertical="center"/>
    </xf>
    <xf numFmtId="174" fontId="85" fillId="56" borderId="99" xfId="0" applyNumberFormat="1" applyFont="1" applyFill="1" applyBorder="1" applyAlignment="1">
      <alignment horizontal="center" vertical="center"/>
    </xf>
    <xf numFmtId="49" fontId="86" fillId="57" borderId="100" xfId="0" applyNumberFormat="1" applyFont="1" applyFill="1" applyBorder="1" applyAlignment="1">
      <alignment horizontal="center" vertical="center"/>
    </xf>
    <xf numFmtId="49" fontId="87" fillId="58" borderId="101" xfId="0" applyFont="1" applyFill="1" applyBorder="1" applyAlignment="1">
      <alignment horizontal="center" vertical="center" wrapText="1"/>
    </xf>
    <xf numFmtId="174" fontId="88" fillId="59" borderId="102" xfId="0" applyNumberFormat="1" applyFont="1" applyFill="1" applyBorder="1" applyAlignment="1">
      <alignment horizontal="center" vertical="center"/>
    </xf>
    <xf numFmtId="174" fontId="89" fillId="60" borderId="103" xfId="0" applyNumberFormat="1" applyFont="1" applyFill="1" applyBorder="1" applyAlignment="1">
      <alignment horizontal="center" vertical="center"/>
    </xf>
    <xf numFmtId="49" fontId="90" fillId="61" borderId="104" xfId="0" applyNumberFormat="1" applyFont="1" applyFill="1" applyBorder="1" applyAlignment="1">
      <alignment horizontal="center" vertical="center"/>
    </xf>
    <xf numFmtId="49" fontId="91" fillId="62" borderId="105" xfId="0" applyFont="1" applyFill="1" applyBorder="1" applyAlignment="1">
      <alignment horizontal="center" vertical="center" wrapText="1"/>
    </xf>
    <xf numFmtId="174" fontId="92" fillId="63" borderId="106" xfId="0" applyNumberFormat="1" applyFont="1" applyFill="1" applyBorder="1" applyAlignment="1">
      <alignment horizontal="center" vertical="center"/>
    </xf>
    <xf numFmtId="174" fontId="93" fillId="64" borderId="107" xfId="0" applyNumberFormat="1" applyFont="1" applyFill="1" applyBorder="1" applyAlignment="1">
      <alignment horizontal="center" vertical="center"/>
    </xf>
    <xf numFmtId="49" fontId="94" fillId="65" borderId="108" xfId="0" applyNumberFormat="1" applyFont="1" applyFill="1" applyBorder="1" applyAlignment="1">
      <alignment horizontal="center" vertical="center"/>
    </xf>
    <xf numFmtId="49" fontId="95" fillId="66" borderId="109" xfId="0" applyFont="1" applyFill="1" applyBorder="1" applyAlignment="1">
      <alignment horizontal="center" vertical="center" wrapText="1"/>
    </xf>
    <xf numFmtId="174" fontId="96" fillId="67" borderId="110" xfId="0" applyNumberFormat="1" applyFont="1" applyFill="1" applyBorder="1" applyAlignment="1">
      <alignment horizontal="center" vertical="center"/>
    </xf>
    <xf numFmtId="174" fontId="97" fillId="68" borderId="111" xfId="0" applyNumberFormat="1" applyFont="1" applyFill="1" applyBorder="1" applyAlignment="1">
      <alignment horizontal="center" vertical="center"/>
    </xf>
    <xf numFmtId="49" fontId="98" fillId="69" borderId="112" xfId="0" applyNumberFormat="1" applyFont="1" applyFill="1" applyBorder="1" applyAlignment="1">
      <alignment horizontal="center" vertical="center"/>
    </xf>
    <xf numFmtId="49" fontId="99" fillId="70" borderId="113" xfId="0" applyFont="1" applyFill="1" applyBorder="1" applyAlignment="1">
      <alignment horizontal="center" vertical="center" wrapText="1"/>
    </xf>
    <xf numFmtId="174" fontId="100" fillId="71" borderId="114" xfId="0" applyNumberFormat="1" applyFont="1" applyFill="1" applyBorder="1" applyAlignment="1">
      <alignment horizontal="center" vertical="center"/>
    </xf>
    <xf numFmtId="174" fontId="101" fillId="72" borderId="115" xfId="0" applyNumberFormat="1" applyFont="1" applyFill="1" applyBorder="1" applyAlignment="1">
      <alignment horizontal="center" vertical="center"/>
    </xf>
    <xf numFmtId="49" fontId="102" fillId="73" borderId="116" xfId="0" applyNumberFormat="1" applyFont="1" applyFill="1" applyBorder="1" applyAlignment="1">
      <alignment horizontal="center" vertical="center"/>
    </xf>
    <xf numFmtId="49" fontId="103" fillId="74" borderId="117" xfId="0" applyFont="1" applyFill="1" applyBorder="1" applyAlignment="1">
      <alignment horizontal="center" vertical="center" wrapText="1"/>
    </xf>
    <xf numFmtId="174" fontId="104" fillId="75" borderId="118" xfId="0" applyNumberFormat="1" applyFont="1" applyFill="1" applyBorder="1" applyAlignment="1">
      <alignment horizontal="center" vertical="center"/>
    </xf>
    <xf numFmtId="174" fontId="105" fillId="76" borderId="119" xfId="0" applyNumberFormat="1" applyFont="1" applyFill="1" applyBorder="1" applyAlignment="1">
      <alignment horizontal="center" vertical="center"/>
    </xf>
    <xf numFmtId="49" fontId="106" fillId="77" borderId="120" xfId="0" applyNumberFormat="1" applyFont="1" applyFill="1" applyBorder="1" applyAlignment="1">
      <alignment horizontal="center" vertical="center"/>
    </xf>
    <xf numFmtId="49" fontId="107" fillId="78" borderId="121" xfId="0" applyFont="1" applyFill="1" applyBorder="1" applyAlignment="1">
      <alignment horizontal="center" vertical="center" wrapText="1"/>
    </xf>
    <xf numFmtId="49" fontId="108" fillId="79" borderId="122" xfId="0" applyNumberFormat="1" applyFont="1" applyFill="1" applyBorder="1" applyAlignment="1">
      <alignment horizontal="center" vertical="center"/>
    </xf>
    <xf numFmtId="49" fontId="109" fillId="80" borderId="123" xfId="0" applyFont="1" applyFill="1" applyBorder="1" applyAlignment="1">
      <alignment horizontal="center" vertical="center" wrapText="1"/>
    </xf>
    <xf numFmtId="174" fontId="110" fillId="81" borderId="124" xfId="0" applyNumberFormat="1" applyFont="1" applyFill="1" applyBorder="1" applyAlignment="1">
      <alignment horizontal="center" vertical="center"/>
    </xf>
    <xf numFmtId="174" fontId="111" fillId="82" borderId="125" xfId="0" applyNumberFormat="1" applyFont="1" applyFill="1" applyBorder="1" applyAlignment="1">
      <alignment horizontal="center" vertical="center"/>
    </xf>
    <xf numFmtId="49" fontId="112" fillId="83" borderId="126" xfId="0" applyNumberFormat="1" applyFont="1" applyFill="1" applyBorder="1" applyAlignment="1">
      <alignment horizontal="center" vertical="center"/>
    </xf>
    <xf numFmtId="49" fontId="113" fillId="84" borderId="127" xfId="0" applyFont="1" applyFill="1" applyBorder="1" applyAlignment="1">
      <alignment horizontal="center" vertical="center" wrapText="1"/>
    </xf>
    <xf numFmtId="174" fontId="114" fillId="85" borderId="128" xfId="0" applyNumberFormat="1" applyFont="1" applyFill="1" applyBorder="1" applyAlignment="1">
      <alignment horizontal="center" vertical="center"/>
    </xf>
    <xf numFmtId="174" fontId="115" fillId="86" borderId="129" xfId="0" applyNumberFormat="1" applyFont="1" applyFill="1" applyBorder="1" applyAlignment="1">
      <alignment horizontal="center" vertical="center"/>
    </xf>
    <xf numFmtId="49" fontId="116" fillId="87" borderId="130" xfId="0" applyNumberFormat="1" applyFont="1" applyFill="1" applyBorder="1" applyAlignment="1">
      <alignment horizontal="center" vertical="center"/>
    </xf>
    <xf numFmtId="49" fontId="117" fillId="88" borderId="131" xfId="0" applyFont="1" applyFill="1" applyBorder="1" applyAlignment="1">
      <alignment horizontal="center" vertical="center" wrapText="1"/>
    </xf>
    <xf numFmtId="174" fontId="118" fillId="89" borderId="132" xfId="0" applyNumberFormat="1" applyFont="1" applyFill="1" applyBorder="1" applyAlignment="1">
      <alignment horizontal="center" vertical="center"/>
    </xf>
    <xf numFmtId="174" fontId="119" fillId="90" borderId="133" xfId="0" applyNumberFormat="1" applyFont="1" applyFill="1" applyBorder="1" applyAlignment="1">
      <alignment horizontal="center" vertical="center"/>
    </xf>
    <xf numFmtId="49" fontId="120" fillId="91" borderId="134" xfId="0" applyNumberFormat="1" applyFont="1" applyFill="1" applyBorder="1" applyAlignment="1">
      <alignment horizontal="center" vertical="center"/>
    </xf>
    <xf numFmtId="49" fontId="121" fillId="92" borderId="135" xfId="0" applyFont="1" applyFill="1" applyBorder="1" applyAlignment="1">
      <alignment horizontal="center" vertical="center" wrapText="1"/>
    </xf>
    <xf numFmtId="174" fontId="122" fillId="93" borderId="136" xfId="0" applyNumberFormat="1" applyFont="1" applyFill="1" applyBorder="1" applyAlignment="1">
      <alignment horizontal="center" vertical="center"/>
    </xf>
    <xf numFmtId="174" fontId="123" fillId="94" borderId="137" xfId="0" applyNumberFormat="1" applyFont="1" applyFill="1" applyBorder="1" applyAlignment="1">
      <alignment horizontal="center" vertical="center"/>
    </xf>
    <xf numFmtId="49" fontId="124" fillId="95" borderId="138" xfId="0" applyNumberFormat="1" applyFont="1" applyFill="1" applyBorder="1" applyAlignment="1">
      <alignment horizontal="center" vertical="center"/>
    </xf>
    <xf numFmtId="49" fontId="125" fillId="96" borderId="139" xfId="0" applyFont="1" applyFill="1" applyBorder="1" applyAlignment="1">
      <alignment horizontal="center" vertical="center" wrapText="1"/>
    </xf>
    <xf numFmtId="174" fontId="126" fillId="97" borderId="140" xfId="0" applyNumberFormat="1" applyFont="1" applyFill="1" applyBorder="1" applyAlignment="1">
      <alignment horizontal="center" vertical="center"/>
    </xf>
    <xf numFmtId="174" fontId="127" fillId="98" borderId="141" xfId="0" applyNumberFormat="1" applyFont="1" applyFill="1" applyBorder="1" applyAlignment="1">
      <alignment horizontal="center" vertical="center"/>
    </xf>
    <xf numFmtId="49" fontId="128" fillId="99" borderId="142" xfId="0" applyNumberFormat="1" applyFont="1" applyFill="1" applyBorder="1" applyAlignment="1">
      <alignment horizontal="center" vertical="center"/>
    </xf>
    <xf numFmtId="49" fontId="129" fillId="100" borderId="143" xfId="0" applyFont="1" applyFill="1" applyBorder="1" applyAlignment="1">
      <alignment horizontal="center" vertical="center" wrapText="1"/>
    </xf>
    <xf numFmtId="174" fontId="130" fillId="101" borderId="144" xfId="0" applyNumberFormat="1" applyFont="1" applyFill="1" applyBorder="1" applyAlignment="1">
      <alignment horizontal="center" vertical="center"/>
    </xf>
    <xf numFmtId="174" fontId="131" fillId="102" borderId="145" xfId="0" applyNumberFormat="1" applyFont="1" applyFill="1" applyBorder="1" applyAlignment="1">
      <alignment horizontal="center" vertical="center"/>
    </xf>
    <xf numFmtId="49" fontId="132" fillId="103" borderId="146" xfId="0" applyNumberFormat="1" applyFont="1" applyFill="1" applyBorder="1" applyAlignment="1">
      <alignment horizontal="center" vertical="center"/>
    </xf>
    <xf numFmtId="49" fontId="133" fillId="104" borderId="147" xfId="0" applyFont="1" applyFill="1" applyBorder="1" applyAlignment="1">
      <alignment horizontal="center" vertical="center" wrapText="1"/>
    </xf>
    <xf numFmtId="49" fontId="134" fillId="105" borderId="148" xfId="0" applyNumberFormat="1" applyFont="1" applyFill="1" applyBorder="1" applyAlignment="1">
      <alignment horizontal="center" vertical="center"/>
    </xf>
    <xf numFmtId="49" fontId="135" fillId="106" borderId="149" xfId="0" applyFont="1" applyFill="1" applyBorder="1" applyAlignment="1">
      <alignment horizontal="center" vertical="center" wrapText="1"/>
    </xf>
    <xf numFmtId="174" fontId="136" fillId="107" borderId="150" xfId="0" applyNumberFormat="1" applyFont="1" applyFill="1" applyBorder="1" applyAlignment="1">
      <alignment horizontal="center" vertical="center"/>
    </xf>
    <xf numFmtId="174" fontId="137" fillId="108" borderId="151" xfId="0" applyNumberFormat="1" applyFont="1" applyFill="1" applyBorder="1" applyAlignment="1">
      <alignment horizontal="center" vertical="center"/>
    </xf>
    <xf numFmtId="49" fontId="138" fillId="109" borderId="152" xfId="0" applyNumberFormat="1" applyFont="1" applyFill="1" applyBorder="1" applyAlignment="1">
      <alignment horizontal="center" vertical="center"/>
    </xf>
    <xf numFmtId="49" fontId="139" fillId="110" borderId="153" xfId="0" applyFont="1" applyFill="1" applyBorder="1" applyAlignment="1">
      <alignment horizontal="center" vertical="center" wrapText="1"/>
    </xf>
    <xf numFmtId="174" fontId="140" fillId="111" borderId="154" xfId="0" applyNumberFormat="1" applyFont="1" applyFill="1" applyBorder="1" applyAlignment="1">
      <alignment horizontal="center" vertical="center"/>
    </xf>
    <xf numFmtId="174" fontId="141" fillId="112" borderId="155" xfId="0" applyNumberFormat="1" applyFont="1" applyFill="1" applyBorder="1" applyAlignment="1">
      <alignment horizontal="center" vertical="center"/>
    </xf>
    <xf numFmtId="49" fontId="142" fillId="113" borderId="156" xfId="0" applyNumberFormat="1" applyFont="1" applyFill="1" applyBorder="1" applyAlignment="1">
      <alignment horizontal="center" vertical="center"/>
    </xf>
    <xf numFmtId="49" fontId="143" fillId="114" borderId="157" xfId="0" applyFont="1" applyFill="1" applyBorder="1" applyAlignment="1">
      <alignment horizontal="center" vertical="center" wrapText="1"/>
    </xf>
    <xf numFmtId="174" fontId="144" fillId="115" borderId="158" xfId="0" applyNumberFormat="1" applyFont="1" applyFill="1" applyBorder="1" applyAlignment="1">
      <alignment horizontal="center" vertical="center"/>
    </xf>
    <xf numFmtId="174" fontId="145" fillId="116" borderId="159" xfId="0" applyNumberFormat="1" applyFont="1" applyFill="1" applyBorder="1" applyAlignment="1">
      <alignment horizontal="center" vertical="center"/>
    </xf>
    <xf numFmtId="49" fontId="146" fillId="117" borderId="160" xfId="0" applyNumberFormat="1" applyFont="1" applyFill="1" applyBorder="1" applyAlignment="1">
      <alignment horizontal="center" vertical="center"/>
    </xf>
    <xf numFmtId="49" fontId="147" fillId="118" borderId="161" xfId="0" applyFont="1" applyFill="1" applyBorder="1" applyAlignment="1">
      <alignment horizontal="center" vertical="center" wrapText="1"/>
    </xf>
    <xf numFmtId="174" fontId="148" fillId="119" borderId="162" xfId="0" applyNumberFormat="1" applyFont="1" applyFill="1" applyBorder="1" applyAlignment="1">
      <alignment horizontal="center" vertical="center"/>
    </xf>
    <xf numFmtId="174" fontId="149" fillId="120" borderId="163" xfId="0" applyNumberFormat="1" applyFont="1" applyFill="1" applyBorder="1" applyAlignment="1">
      <alignment horizontal="center" vertical="center"/>
    </xf>
  </cellXfs>
  <cellStyles count="11">
    <cellStyle name="Normal" xfId="0" builtinId="0"/>
    <cellStyle name="Normal 2" xfId="1" xr:uid="{00000000-0005-0000-0000-000001000000}"/>
    <cellStyle name="Normal 2 2" xfId="6" xr:uid="{00000000-0005-0000-0000-000002000000}"/>
    <cellStyle name="Normal 2 3" xfId="10" xr:uid="{00000000-0005-0000-0000-000003000000}"/>
    <cellStyle name="Normal 3" xfId="2" xr:uid="{00000000-0005-0000-0000-000004000000}"/>
    <cellStyle name="Normal 3 2" xfId="8" xr:uid="{00000000-0005-0000-0000-000005000000}"/>
    <cellStyle name="Normal 4" xfId="3" xr:uid="{00000000-0005-0000-0000-000006000000}"/>
    <cellStyle name="Normal 5" xfId="4" xr:uid="{00000000-0005-0000-0000-000007000000}"/>
    <cellStyle name="Normal 6" xfId="5" xr:uid="{00000000-0005-0000-0000-000008000000}"/>
    <cellStyle name="Normal 7" xfId="7" xr:uid="{00000000-0005-0000-0000-000009000000}"/>
    <cellStyle name="Normal 8" xfId="9" xr:uid="{00000000-0005-0000-0000-00000A000000}"/>
  </cellStyles>
  <dxfs count="101">
    <dxf>
      <fill>
        <patternFill>
          <bgColor rgb="FFFFC0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rgb="FF7F7F7F"/>
      </font>
    </dxf>
    <dxf>
      <font>
        <color theme="0" tint="-0.499984740745262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ill>
        <patternFill>
          <bgColor rgb="FFFFC000"/>
        </patternFill>
      </fill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rgb="FF7F7F7F"/>
      </font>
    </dxf>
    <dxf>
      <font>
        <color rgb="FF7F7F7F"/>
      </font>
    </dxf>
    <dxf>
      <font>
        <color rgb="FF7F7F7F"/>
      </font>
    </dxf>
    <dxf>
      <font>
        <color theme="0" tint="-0.499984740745262"/>
      </font>
    </dxf>
    <dxf>
      <font>
        <color theme="0" tint="-0.499984740745262"/>
      </font>
    </dxf>
    <dxf>
      <font>
        <color rgb="FF7F7F7F"/>
      </font>
    </dxf>
    <dxf>
      <font>
        <color rgb="FF7F7F7F"/>
      </font>
    </dxf>
    <dxf>
      <font>
        <color rgb="FF7F7F7F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rgb="FF7F7F7F"/>
      </font>
    </dxf>
    <dxf>
      <font>
        <color theme="0" tint="-0.499984740745262"/>
      </font>
    </dxf>
    <dxf>
      <font>
        <color theme="0" tint="-0.499984740745262"/>
      </font>
    </dxf>
    <dxf>
      <font>
        <color rgb="FF7F7F7F"/>
      </font>
    </dxf>
    <dxf>
      <font>
        <color rgb="FF7F7F7F"/>
      </font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  <pageSetUpPr fitToPage="1"/>
  </sheetPr>
  <sheetViews>
    <sheetView tabSelected="1" topLeftCell="A24" workbookViewId="0">
      <selection activeCell="N36" sqref="N36"/>
    </sheetView>
  </sheetViews>
  <sheetFormatPr defaultColWidth="9.125" defaultRowHeight="16.5" customHeight="1"/>
  <cols>
    <col min="1" max="1" width="2.375" style="1" customWidth="1"/>
    <col min="2" max="2" width="4.875" style="1" customWidth="1"/>
    <col min="3" max="3" width="9" style="1" bestFit="1" customWidth="1"/>
    <col min="4" max="4" width="4.5" style="1" customWidth="1"/>
    <col min="5" max="5" width="8.125" style="1" customWidth="1"/>
    <col min="6" max="6" width="8.5" style="1" customWidth="1"/>
    <col min="7" max="7" width="2.625" style="14" customWidth="1"/>
    <col min="8" max="8" width="3.125" style="14" customWidth="1"/>
    <col min="9" max="9" width="4.625" style="1" bestFit="1" customWidth="1"/>
    <col min="10" max="10" width="3.875" style="1" bestFit="1" customWidth="1"/>
    <col min="11" max="11" width="8.125" style="1" customWidth="1"/>
    <col min="12" max="12" width="16" style="1" customWidth="1"/>
    <col min="13" max="13" width="27.625" style="8" customWidth="1"/>
    <col min="14" max="14" width="19" style="8" customWidth="1"/>
    <col min="15" max="15" width="2" style="1" customWidth="1"/>
    <col min="16" max="17" width="2.5" style="1" bestFit="1" customWidth="1"/>
    <col min="18" max="18" width="3.375" style="1" bestFit="1" customWidth="1"/>
    <col min="19" max="16384" width="9.125" style="1"/>
  </cols>
  <sheetData>
    <row r="1" spans="2:20">
      <c r="B1" t="s" s="75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pans="2:20" ht="19.5">
      <c r="B2" t="s" s="90">
        <v>1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2"/>
    </row>
    <row r="3" spans="2:20">
      <c r="B3" t="s" s="95">
        <v>2</v>
      </c>
      <c r="C3" s="96"/>
      <c r="D3" s="96"/>
      <c r="E3" s="96"/>
      <c r="F3" s="96"/>
      <c r="G3" s="96"/>
      <c r="H3" s="96"/>
      <c r="I3" s="96"/>
      <c r="J3" s="97"/>
      <c r="K3" s="98"/>
      <c r="L3" t="s" s="27">
        <v>52</v>
      </c>
      <c r="M3" t="s" s="28">
        <v>53</v>
      </c>
      <c r="N3" t="s" s="29">
        <v>54</v>
      </c>
    </row>
    <row r="4" spans="2:20">
      <c r="B4" t="s" s="85">
        <v>6</v>
      </c>
      <c r="C4" s="86"/>
      <c r="D4" t="s" s="87">
        <v>7</v>
      </c>
      <c r="E4" s="88"/>
      <c r="F4" t="s" s="57">
        <v>8</v>
      </c>
      <c r="G4" t="s" s="89">
        <v>9</v>
      </c>
      <c r="H4" s="89"/>
      <c r="I4" s="89"/>
      <c r="J4" t="s" s="93">
        <v>10</v>
      </c>
      <c r="K4" s="94"/>
      <c r="L4" s="130">
        <v>46113</v>
      </c>
      <c r="M4" t="s" s="59">
        <v>11</v>
      </c>
      <c r="N4" s="131">
        <v>46142</v>
      </c>
    </row>
    <row r="5" spans="2:20" s="2" customFormat="1" ht="75.75">
      <c r="B5" t="s" s="61">
        <v>12</v>
      </c>
      <c r="C5" t="s" s="62">
        <v>13</v>
      </c>
      <c r="D5" t="s" s="62">
        <v>14</v>
      </c>
      <c r="E5" t="s" s="62">
        <v>15</v>
      </c>
      <c r="F5" t="s" s="62">
        <v>16</v>
      </c>
      <c r="G5" t="s" s="63">
        <v>55</v>
      </c>
      <c r="H5" t="s" s="63">
        <v>18</v>
      </c>
      <c r="I5" t="s" s="63">
        <v>19</v>
      </c>
      <c r="J5" t="s" s="64">
        <v>20</v>
      </c>
      <c r="K5" t="s" s="62">
        <v>21</v>
      </c>
      <c r="L5" t="s" s="121">
        <v>22</v>
      </c>
      <c r="M5" s="122"/>
      <c r="N5" t="s" s="127">
        <v>23</v>
      </c>
      <c r="P5" t="s" s="70">
        <v>24</v>
      </c>
      <c r="Q5" t="s" s="70">
        <v>25</v>
      </c>
      <c r="R5" t="s" s="71">
        <v>26</v>
      </c>
    </row>
    <row r="6" spans="2:20" s="4" customFormat="1" ht="15">
      <c r="B6" s="3">
        <v>1</v>
      </c>
      <c r="C6" s="73">
        <f>L4</f>
      </c>
      <c r="D6" s="32">
        <f>C6</f>
      </c>
      <c r="E6" s="134">
        <v>0.3617592592592593</v>
      </c>
      <c r="F6" s="135">
        <v>0.8010300925925926</v>
      </c>
      <c r="G6" t="s" s="132">
        <v>36</v>
      </c>
      <c r="H6" s="35">
        <v>1</v>
      </c>
      <c r="I6" s="24">
        <f>IF(OR(G6="H",G6="L",G6="",C6="",G6="A"),0,IF(AND(G6="C",E7="",F7="",C7&lt;&gt;"",G7&lt;&gt;"H",K6&gt;(16/24)),12,IF(OR(G6="S",G6="D"),4,8)))</f>
      </c>
      <c r="J6" s="65">
        <f>IF((OR(G6="A",G6="",C6="")),0,IF(G6="D",0.5,1))</f>
      </c>
      <c r="K6" s="68">
        <f>IF(G6="",0,(F6-E6))</f>
      </c>
      <c r="L6" t="s" s="123">
        <v>56</v>
      </c>
      <c r="M6" s="124"/>
      <c r="N6" s="133"/>
      <c r="P6" s="72">
        <f t="shared" ref="P6:P35" si="0">IF($G6="L",1,IF($G6="S",0.5,0))</f>
      </c>
      <c r="Q6" s="72">
        <f t="shared" ref="Q6:Q35" si="1">IF(C6="",0,IF(G6="D",0.5,(1-J6)))</f>
      </c>
      <c r="R6" s="4">
        <f>IF(OR((AND(E6=0,F6=0,G6="W")),AND(E6=0,F6=0,G6="H",H6&gt;0)),"X","")</f>
      </c>
    </row>
    <row r="7" spans="2:20" s="4" customFormat="1" ht="15">
      <c r="B7" s="5">
        <v>2</v>
      </c>
      <c r="C7" s="73">
        <f>C6+1</f>
      </c>
      <c r="D7" s="32">
        <f t="shared" ref="D7:D36" si="2">C7</f>
      </c>
      <c r="E7" s="138">
        <v>0.37552083333333336</v>
      </c>
      <c r="F7" s="139">
        <v>0.7942824074074074</v>
      </c>
      <c r="G7" t="s" s="136">
        <v>36</v>
      </c>
      <c r="H7" s="36">
        <v>1</v>
      </c>
      <c r="I7" s="24">
        <f>IF(OR(G7="H",G7="L",G7="",C7="",G7="A"),0,IF(AND(G7="C",E8="",F8="",C8&lt;&gt;"",G8&lt;&gt;"H",K7&gt;(16/24)),12,IF(OR(G7="S",G7="D"),4,8)))</f>
      </c>
      <c r="J7" s="65">
        <f t="shared" ref="J7:J36" si="3">IF((OR(G7="A",G7="",C7="")),0,IF(G7="D",0.5,1))</f>
      </c>
      <c r="K7" s="68">
        <f t="shared" ref="K7:K36" si="4">IF(G7="",0,(F7-E7))</f>
      </c>
      <c r="L7" t="s" s="125">
        <v>56</v>
      </c>
      <c r="M7" s="126"/>
      <c r="N7" s="137"/>
      <c r="P7" s="72">
        <f t="shared" si="0"/>
      </c>
      <c r="Q7" s="72">
        <f t="shared" si="1"/>
      </c>
      <c r="R7" s="4">
        <f t="shared" ref="R7:R36" si="5">IF(OR((AND(E7=0,F7=0,G7="W")),AND(E7=0,F7=0,G7="H",H7&gt;0)),"X","")</f>
      </c>
      <c r="T7" s="66"/>
    </row>
    <row r="8" spans="2:20" s="4" customFormat="1" ht="15">
      <c r="B8" s="5">
        <v>3</v>
      </c>
      <c r="C8" s="73">
        <f t="shared" ref="C8:C33" si="6">C7+1</f>
      </c>
      <c r="D8" s="32">
        <f t="shared" si="2"/>
      </c>
      <c r="E8" s="142">
        <v>0.36461805555555554</v>
      </c>
      <c r="F8" s="143">
        <v>0.7022800925925926</v>
      </c>
      <c r="G8" t="s" s="140">
        <v>32</v>
      </c>
      <c r="H8" s="36">
        <v>1</v>
      </c>
      <c r="I8" s="24">
        <f t="shared" ref="I8:I36" si="7">IF(OR(G8="H",G8="L",G8="",C8="",G8="A"),0,IF(AND(G8="C",E9="",F9="",C9&lt;&gt;"",G9&lt;&gt;"H",K8&gt;(16/24)),12,IF(OR(G8="S",G8="D"),4,8)))</f>
      </c>
      <c r="J8" s="65">
        <f t="shared" si="3"/>
      </c>
      <c r="K8" s="68">
        <f t="shared" si="4"/>
      </c>
      <c r="L8" t="s" s="125">
        <v>56</v>
      </c>
      <c r="M8" s="126"/>
      <c r="N8" s="141"/>
      <c r="P8" s="72">
        <f t="shared" si="0"/>
      </c>
      <c r="Q8" s="72">
        <f t="shared" si="1"/>
      </c>
      <c r="R8" s="4">
        <f t="shared" si="5"/>
      </c>
    </row>
    <row r="9" spans="2:20" s="4" customFormat="1" ht="15">
      <c r="B9" s="5">
        <v>4</v>
      </c>
      <c r="C9" s="73">
        <f t="shared" si="6"/>
      </c>
      <c r="D9" s="32">
        <f t="shared" si="2"/>
      </c>
      <c r="E9" s="146">
        <v>0.36702546296296296</v>
      </c>
      <c r="F9" s="147">
        <v>0.8278587962962963</v>
      </c>
      <c r="G9" t="s" s="144">
        <v>36</v>
      </c>
      <c r="H9" s="36">
        <v>1</v>
      </c>
      <c r="I9" s="24">
        <f t="shared" si="7"/>
      </c>
      <c r="J9" s="65">
        <f t="shared" si="3"/>
      </c>
      <c r="K9" s="68">
        <f t="shared" si="4"/>
      </c>
      <c r="L9" t="s" s="125">
        <v>56</v>
      </c>
      <c r="M9" s="126"/>
      <c r="N9" s="145"/>
      <c r="P9" s="72">
        <f t="shared" si="0"/>
      </c>
      <c r="Q9" s="72">
        <f t="shared" si="1"/>
      </c>
      <c r="R9" s="4">
        <f t="shared" si="5"/>
      </c>
    </row>
    <row r="10" spans="2:20" s="4" customFormat="1" ht="15">
      <c r="B10" s="5">
        <v>5</v>
      </c>
      <c r="C10" s="73">
        <f t="shared" si="6"/>
      </c>
      <c r="D10" s="32">
        <f t="shared" si="2"/>
      </c>
      <c r="E10" s="69"/>
      <c r="F10" s="69"/>
      <c r="G10" t="s" s="148">
        <v>29</v>
      </c>
      <c r="H10" s="36"/>
      <c r="I10" s="24">
        <f t="shared" si="7"/>
      </c>
      <c r="J10" s="65">
        <f t="shared" si="3"/>
      </c>
      <c r="K10" s="68">
        <f t="shared" si="4"/>
      </c>
      <c r="L10" s="125"/>
      <c r="M10" s="126"/>
      <c r="N10" t="s" s="149">
        <v>57</v>
      </c>
      <c r="P10" s="72">
        <f t="shared" si="0"/>
      </c>
      <c r="Q10" s="72">
        <f t="shared" si="1"/>
      </c>
      <c r="R10" s="4">
        <f t="shared" si="5"/>
      </c>
    </row>
    <row r="11" spans="2:20" s="4" customFormat="1" ht="15">
      <c r="B11" s="5">
        <v>6</v>
      </c>
      <c r="C11" s="73">
        <f t="shared" si="6"/>
      </c>
      <c r="D11" s="32">
        <f t="shared" si="2"/>
      </c>
      <c r="E11" s="152">
        <v>0.3629861111111111</v>
      </c>
      <c r="F11" s="153">
        <v>0.8322337962962963</v>
      </c>
      <c r="G11" t="s" s="150">
        <v>36</v>
      </c>
      <c r="H11" s="36">
        <v>1</v>
      </c>
      <c r="I11" s="24">
        <f t="shared" si="7"/>
      </c>
      <c r="J11" s="65">
        <f t="shared" si="3"/>
      </c>
      <c r="K11" s="68">
        <f t="shared" si="4"/>
      </c>
      <c r="L11" t="s" s="125">
        <v>56</v>
      </c>
      <c r="M11" s="126"/>
      <c r="N11" s="151"/>
      <c r="P11" s="72">
        <f t="shared" si="0"/>
      </c>
      <c r="Q11" s="72">
        <f t="shared" si="1"/>
      </c>
      <c r="R11" s="4">
        <f t="shared" si="5"/>
      </c>
    </row>
    <row r="12" spans="2:20" s="4" customFormat="1" ht="15">
      <c r="B12" s="5">
        <v>7</v>
      </c>
      <c r="C12" s="73">
        <f t="shared" si="6"/>
      </c>
      <c r="D12" s="32">
        <f t="shared" si="2"/>
      </c>
      <c r="E12" s="156">
        <v>0.3709027777777778</v>
      </c>
      <c r="F12" s="157">
        <v>0.7760300925925926</v>
      </c>
      <c r="G12" t="s" s="154">
        <v>36</v>
      </c>
      <c r="H12" s="36">
        <v>1</v>
      </c>
      <c r="I12" s="24">
        <f t="shared" si="7"/>
      </c>
      <c r="J12" s="65">
        <f t="shared" si="3"/>
      </c>
      <c r="K12" s="68">
        <f t="shared" si="4"/>
      </c>
      <c r="L12" t="s" s="125">
        <v>56</v>
      </c>
      <c r="M12" s="126"/>
      <c r="N12" s="155"/>
      <c r="P12" s="72">
        <f t="shared" si="0"/>
      </c>
      <c r="Q12" s="72">
        <f t="shared" si="1"/>
      </c>
      <c r="R12" s="4">
        <f t="shared" si="5"/>
      </c>
    </row>
    <row r="13" spans="2:20" s="4" customFormat="1" ht="15">
      <c r="B13" s="5">
        <v>8</v>
      </c>
      <c r="C13" s="73">
        <f t="shared" si="6"/>
      </c>
      <c r="D13" s="32">
        <f t="shared" si="2"/>
      </c>
      <c r="E13" s="160">
        <v>0.3776851851851852</v>
      </c>
      <c r="F13" s="161">
        <v>0.8826041666666666</v>
      </c>
      <c r="G13" t="s" s="158">
        <v>36</v>
      </c>
      <c r="H13" s="36">
        <v>1</v>
      </c>
      <c r="I13" s="24">
        <f t="shared" si="7"/>
      </c>
      <c r="J13" s="65">
        <f t="shared" si="3"/>
      </c>
      <c r="K13" s="68">
        <f t="shared" si="4"/>
      </c>
      <c r="L13" t="s" s="125">
        <v>56</v>
      </c>
      <c r="M13" s="126"/>
      <c r="N13" s="159"/>
      <c r="P13" s="72">
        <f t="shared" si="0"/>
      </c>
      <c r="Q13" s="72">
        <f t="shared" si="1"/>
      </c>
      <c r="R13" s="4">
        <f t="shared" si="5"/>
      </c>
    </row>
    <row r="14" spans="2:20" s="4" customFormat="1" ht="15">
      <c r="B14" s="5">
        <v>9</v>
      </c>
      <c r="C14" s="73">
        <f t="shared" si="6"/>
      </c>
      <c r="D14" s="32">
        <f t="shared" si="2"/>
      </c>
      <c r="E14" s="164">
        <v>0.37601851851851853</v>
      </c>
      <c r="F14" s="165">
        <v>0.8765972222222222</v>
      </c>
      <c r="G14" t="s" s="162">
        <v>36</v>
      </c>
      <c r="H14" s="36">
        <v>1</v>
      </c>
      <c r="I14" s="24">
        <f t="shared" si="7"/>
      </c>
      <c r="J14" s="65">
        <f t="shared" si="3"/>
      </c>
      <c r="K14" s="68">
        <f t="shared" si="4"/>
      </c>
      <c r="L14" t="s" s="125">
        <v>56</v>
      </c>
      <c r="M14" s="126"/>
      <c r="N14" s="163"/>
      <c r="P14" s="72">
        <f t="shared" si="0"/>
      </c>
      <c r="Q14" s="72">
        <f t="shared" si="1"/>
      </c>
      <c r="R14" s="4">
        <f t="shared" si="5"/>
      </c>
    </row>
    <row r="15" spans="2:20" s="4" customFormat="1" ht="15">
      <c r="B15" s="5">
        <v>10</v>
      </c>
      <c r="C15" s="73">
        <f t="shared" si="6"/>
      </c>
      <c r="D15" s="32">
        <f t="shared" si="2"/>
      </c>
      <c r="E15" s="168">
        <v>0.37081018518518516</v>
      </c>
      <c r="F15" s="169">
        <v>0.8500694444444444</v>
      </c>
      <c r="G15" t="s" s="166">
        <v>36</v>
      </c>
      <c r="H15" s="36">
        <v>1</v>
      </c>
      <c r="I15" s="24">
        <f t="shared" si="7"/>
      </c>
      <c r="J15" s="65">
        <f t="shared" si="3"/>
      </c>
      <c r="K15" s="68">
        <f t="shared" si="4"/>
      </c>
      <c r="L15" t="s" s="125">
        <v>56</v>
      </c>
      <c r="M15" s="126"/>
      <c r="N15" s="167"/>
      <c r="P15" s="72">
        <f t="shared" si="0"/>
      </c>
      <c r="Q15" s="72">
        <f t="shared" si="1"/>
      </c>
      <c r="R15" s="4">
        <f t="shared" si="5"/>
      </c>
    </row>
    <row r="16" spans="2:20" s="4" customFormat="1" ht="15">
      <c r="B16" s="5">
        <v>11</v>
      </c>
      <c r="C16" s="73">
        <f t="shared" si="6"/>
      </c>
      <c r="D16" s="32">
        <f t="shared" si="2"/>
      </c>
      <c r="E16" s="172">
        <v>0.3720486111111111</v>
      </c>
      <c r="F16" s="173">
        <v>0.7168865740740741</v>
      </c>
      <c r="G16" t="s" s="170">
        <v>32</v>
      </c>
      <c r="H16" s="36">
        <v>1</v>
      </c>
      <c r="I16" s="24">
        <f t="shared" si="7"/>
      </c>
      <c r="J16" s="65">
        <f t="shared" si="3"/>
      </c>
      <c r="K16" s="68">
        <f t="shared" si="4"/>
      </c>
      <c r="L16" t="s" s="125">
        <v>56</v>
      </c>
      <c r="M16" s="126"/>
      <c r="N16" s="171"/>
      <c r="P16" s="72">
        <f t="shared" si="0"/>
      </c>
      <c r="Q16" s="72">
        <f t="shared" si="1"/>
      </c>
      <c r="R16" s="4">
        <f t="shared" si="5"/>
      </c>
    </row>
    <row r="17" spans="2:18" s="4" customFormat="1" ht="15">
      <c r="B17" s="5">
        <v>12</v>
      </c>
      <c r="C17" s="73">
        <f t="shared" si="6"/>
      </c>
      <c r="D17" s="32">
        <f t="shared" si="2"/>
      </c>
      <c r="E17" s="69"/>
      <c r="F17" s="69"/>
      <c r="G17" t="s" s="174">
        <v>29</v>
      </c>
      <c r="H17" s="36"/>
      <c r="I17" s="24">
        <f t="shared" si="7"/>
      </c>
      <c r="J17" s="65">
        <f t="shared" si="3"/>
      </c>
      <c r="K17" s="68">
        <f t="shared" si="4"/>
      </c>
      <c r="L17" s="125"/>
      <c r="M17" s="126"/>
      <c r="N17" t="s" s="175">
        <v>57</v>
      </c>
      <c r="P17" s="72">
        <f t="shared" si="0"/>
      </c>
      <c r="Q17" s="72">
        <f t="shared" si="1"/>
      </c>
      <c r="R17" s="4">
        <f t="shared" si="5"/>
      </c>
    </row>
    <row r="18" spans="2:18" s="4" customFormat="1" ht="15">
      <c r="B18" s="5">
        <v>13</v>
      </c>
      <c r="C18" s="73">
        <f t="shared" si="6"/>
      </c>
      <c r="D18" s="32">
        <f t="shared" si="2"/>
      </c>
      <c r="E18" s="178">
        <v>0.35555555555555557</v>
      </c>
      <c r="F18" s="179">
        <v>0.9358449074074074</v>
      </c>
      <c r="G18" t="s" s="176">
        <v>36</v>
      </c>
      <c r="H18" s="36">
        <v>1</v>
      </c>
      <c r="I18" s="24">
        <f t="shared" si="7"/>
      </c>
      <c r="J18" s="65">
        <f t="shared" si="3"/>
      </c>
      <c r="K18" s="68">
        <f t="shared" si="4"/>
      </c>
      <c r="L18" t="s" s="125">
        <v>58</v>
      </c>
      <c r="M18" s="126"/>
      <c r="N18" s="177"/>
      <c r="P18" s="72">
        <f t="shared" si="0"/>
      </c>
      <c r="Q18" s="72">
        <f t="shared" si="1"/>
      </c>
      <c r="R18" s="4">
        <f t="shared" si="5"/>
      </c>
    </row>
    <row r="19" spans="2:18" s="4" customFormat="1" ht="15">
      <c r="B19" s="5">
        <v>14</v>
      </c>
      <c r="C19" s="73">
        <f t="shared" si="6"/>
      </c>
      <c r="D19" s="32">
        <f t="shared" si="2"/>
      </c>
      <c r="E19" s="182">
        <v>0.373912037037037</v>
      </c>
      <c r="F19" s="183">
        <v>0.7475694444444444</v>
      </c>
      <c r="G19" t="s" s="180">
        <v>32</v>
      </c>
      <c r="H19" s="36">
        <v>1</v>
      </c>
      <c r="I19" s="24">
        <f t="shared" si="7"/>
      </c>
      <c r="J19" s="65">
        <f t="shared" si="3"/>
      </c>
      <c r="K19" s="68">
        <f t="shared" si="4"/>
      </c>
      <c r="L19" t="s" s="125">
        <v>56</v>
      </c>
      <c r="M19" s="126"/>
      <c r="N19" s="181"/>
      <c r="P19" s="72">
        <f t="shared" si="0"/>
      </c>
      <c r="Q19" s="72">
        <f t="shared" si="1"/>
      </c>
      <c r="R19" s="4">
        <f t="shared" si="5"/>
      </c>
    </row>
    <row r="20" spans="2:18" s="4" customFormat="1" ht="15">
      <c r="B20" s="5">
        <v>15</v>
      </c>
      <c r="C20" s="73">
        <f t="shared" si="6"/>
      </c>
      <c r="D20" s="32">
        <f t="shared" si="2"/>
      </c>
      <c r="E20" s="186">
        <v>0.3761689814814815</v>
      </c>
      <c r="F20" s="187">
        <v>0.8566087962962963</v>
      </c>
      <c r="G20" t="s" s="184">
        <v>36</v>
      </c>
      <c r="H20" s="36">
        <v>1</v>
      </c>
      <c r="I20" s="24">
        <f t="shared" si="7"/>
      </c>
      <c r="J20" s="65">
        <f t="shared" si="3"/>
      </c>
      <c r="K20" s="68">
        <f t="shared" si="4"/>
      </c>
      <c r="L20" t="s" s="125">
        <v>56</v>
      </c>
      <c r="M20" s="126"/>
      <c r="N20" s="185"/>
      <c r="P20" s="72">
        <f t="shared" si="0"/>
      </c>
      <c r="Q20" s="72">
        <f t="shared" si="1"/>
      </c>
      <c r="R20" s="4">
        <f t="shared" si="5"/>
      </c>
    </row>
    <row r="21" spans="2:18" s="4" customFormat="1" ht="15">
      <c r="B21" s="5">
        <v>16</v>
      </c>
      <c r="C21" s="73">
        <f t="shared" si="6"/>
      </c>
      <c r="D21" s="32">
        <f t="shared" si="2"/>
      </c>
      <c r="E21" s="190">
        <v>0.3656712962962963</v>
      </c>
      <c r="F21" s="191">
        <v>0.8391435185185185</v>
      </c>
      <c r="G21" t="s" s="188">
        <v>36</v>
      </c>
      <c r="H21" s="36">
        <v>1</v>
      </c>
      <c r="I21" s="24">
        <f t="shared" si="7"/>
      </c>
      <c r="J21" s="65">
        <f t="shared" si="3"/>
      </c>
      <c r="K21" s="68">
        <f t="shared" si="4"/>
      </c>
      <c r="L21" t="s" s="125">
        <v>56</v>
      </c>
      <c r="M21" s="126"/>
      <c r="N21" s="189"/>
      <c r="P21" s="72">
        <f t="shared" si="0"/>
      </c>
      <c r="Q21" s="72">
        <f t="shared" si="1"/>
      </c>
      <c r="R21" s="4">
        <f t="shared" si="5"/>
      </c>
    </row>
    <row r="22" spans="2:18" s="4" customFormat="1" ht="15">
      <c r="B22" s="5">
        <v>17</v>
      </c>
      <c r="C22" s="73">
        <f t="shared" si="6"/>
      </c>
      <c r="D22" s="32">
        <f t="shared" si="2"/>
      </c>
      <c r="E22" s="194">
        <v>0.35625</v>
      </c>
      <c r="F22" s="195">
        <v>0.8494675925925926</v>
      </c>
      <c r="G22" t="s" s="192">
        <v>36</v>
      </c>
      <c r="H22" s="36">
        <v>1</v>
      </c>
      <c r="I22" s="24">
        <f t="shared" si="7"/>
      </c>
      <c r="J22" s="65">
        <f t="shared" si="3"/>
      </c>
      <c r="K22" s="68">
        <f t="shared" si="4"/>
      </c>
      <c r="L22" t="s" s="125">
        <v>56</v>
      </c>
      <c r="M22" s="126"/>
      <c r="N22" s="193"/>
      <c r="P22" s="72">
        <f t="shared" si="0"/>
      </c>
      <c r="Q22" s="72">
        <f t="shared" si="1"/>
      </c>
      <c r="R22" s="4">
        <f t="shared" si="5"/>
      </c>
    </row>
    <row r="23" spans="2:18" s="4" customFormat="1" ht="15">
      <c r="B23" s="5">
        <v>18</v>
      </c>
      <c r="C23" s="73">
        <f t="shared" si="6"/>
      </c>
      <c r="D23" s="32">
        <f t="shared" si="2"/>
      </c>
      <c r="E23" s="198">
        <v>0.3579861111111111</v>
      </c>
      <c r="F23" s="199">
        <v>0.7531712962962963</v>
      </c>
      <c r="G23" t="s" s="196">
        <v>36</v>
      </c>
      <c r="H23" s="36">
        <v>1</v>
      </c>
      <c r="I23" s="24">
        <f t="shared" si="7"/>
      </c>
      <c r="J23" s="65">
        <f t="shared" si="3"/>
      </c>
      <c r="K23" s="68">
        <f t="shared" si="4"/>
      </c>
      <c r="L23" t="s" s="125">
        <v>56</v>
      </c>
      <c r="M23" s="126"/>
      <c r="N23" s="197"/>
      <c r="P23" s="72">
        <f t="shared" si="0"/>
      </c>
      <c r="Q23" s="72">
        <f t="shared" si="1"/>
      </c>
      <c r="R23" s="4">
        <f t="shared" si="5"/>
      </c>
    </row>
    <row r="24" spans="2:18" s="4" customFormat="1" ht="15">
      <c r="B24" s="5">
        <v>19</v>
      </c>
      <c r="C24" s="73">
        <f t="shared" si="6"/>
      </c>
      <c r="D24" s="32">
        <f t="shared" si="2"/>
      </c>
      <c r="E24" s="69"/>
      <c r="F24" s="69"/>
      <c r="G24" t="s" s="200">
        <v>29</v>
      </c>
      <c r="H24" s="36"/>
      <c r="I24" s="24">
        <f t="shared" si="7"/>
      </c>
      <c r="J24" s="65">
        <f t="shared" si="3"/>
      </c>
      <c r="K24" s="68">
        <f t="shared" si="4"/>
      </c>
      <c r="L24" s="125"/>
      <c r="M24" s="126"/>
      <c r="N24" t="s" s="201">
        <v>57</v>
      </c>
      <c r="P24" s="72">
        <f t="shared" si="0"/>
      </c>
      <c r="Q24" s="72">
        <f t="shared" si="1"/>
      </c>
      <c r="R24" s="4">
        <f t="shared" si="5"/>
      </c>
    </row>
    <row r="25" spans="2:18" s="4" customFormat="1" ht="15">
      <c r="B25" s="5">
        <v>20</v>
      </c>
      <c r="C25" s="73">
        <f t="shared" si="6"/>
      </c>
      <c r="D25" s="32">
        <f t="shared" si="2"/>
      </c>
      <c r="E25" s="204">
        <v>0.35891203703703706</v>
      </c>
      <c r="F25" s="205">
        <v>0.835625</v>
      </c>
      <c r="G25" t="s" s="202">
        <v>36</v>
      </c>
      <c r="H25" s="36">
        <v>1</v>
      </c>
      <c r="I25" s="24">
        <f t="shared" si="7"/>
      </c>
      <c r="J25" s="65">
        <f t="shared" si="3"/>
      </c>
      <c r="K25" s="68">
        <f t="shared" si="4"/>
      </c>
      <c r="L25" t="s" s="125">
        <v>56</v>
      </c>
      <c r="M25" s="126"/>
      <c r="N25" s="203"/>
      <c r="P25" s="72">
        <f t="shared" si="0"/>
      </c>
      <c r="Q25" s="72">
        <f t="shared" si="1"/>
      </c>
      <c r="R25" s="4">
        <f t="shared" si="5"/>
      </c>
    </row>
    <row r="26" spans="2:18" s="4" customFormat="1" ht="15">
      <c r="B26" s="5">
        <v>21</v>
      </c>
      <c r="C26" s="73">
        <f t="shared" si="6"/>
      </c>
      <c r="D26" s="32">
        <f t="shared" si="2"/>
      </c>
      <c r="E26" s="208">
        <v>0.3613078703703704</v>
      </c>
      <c r="F26" s="209">
        <v>0.7934027777777778</v>
      </c>
      <c r="G26" t="s" s="206">
        <v>36</v>
      </c>
      <c r="H26" s="36">
        <v>1</v>
      </c>
      <c r="I26" s="24">
        <f t="shared" si="7"/>
      </c>
      <c r="J26" s="65">
        <f t="shared" si="3"/>
      </c>
      <c r="K26" s="68">
        <f t="shared" si="4"/>
      </c>
      <c r="L26" t="s" s="125">
        <v>56</v>
      </c>
      <c r="M26" s="126"/>
      <c r="N26" s="207"/>
      <c r="P26" s="72">
        <f t="shared" si="0"/>
      </c>
      <c r="Q26" s="72">
        <f t="shared" si="1"/>
      </c>
      <c r="R26" s="4">
        <f t="shared" si="5"/>
      </c>
    </row>
    <row r="27" spans="2:18" s="4" customFormat="1" ht="16.149999999999999" customHeight="1">
      <c r="B27" s="5">
        <v>22</v>
      </c>
      <c r="C27" s="73">
        <f t="shared" si="6"/>
      </c>
      <c r="D27" s="32">
        <f t="shared" si="2"/>
      </c>
      <c r="E27" s="212">
        <v>0.35574074074074075</v>
      </c>
      <c r="F27" s="213">
        <v>0.8766203703703703</v>
      </c>
      <c r="G27" t="s" s="210">
        <v>36</v>
      </c>
      <c r="H27" s="36">
        <v>1</v>
      </c>
      <c r="I27" s="24">
        <f t="shared" si="7"/>
      </c>
      <c r="J27" s="65">
        <f t="shared" si="3"/>
      </c>
      <c r="K27" s="68">
        <f t="shared" si="4"/>
      </c>
      <c r="L27" t="s" s="125">
        <v>56</v>
      </c>
      <c r="M27" s="126"/>
      <c r="N27" s="211"/>
      <c r="P27" s="72">
        <f t="shared" si="0"/>
      </c>
      <c r="Q27" s="72">
        <f t="shared" si="1"/>
      </c>
      <c r="R27" s="4">
        <f t="shared" si="5"/>
      </c>
    </row>
    <row r="28" spans="2:18" s="4" customFormat="1" ht="15">
      <c r="B28" s="5">
        <v>23</v>
      </c>
      <c r="C28" s="73">
        <f t="shared" si="6"/>
      </c>
      <c r="D28" s="32">
        <f t="shared" si="2"/>
      </c>
      <c r="E28" s="216">
        <v>0.35953703703703704</v>
      </c>
      <c r="F28" s="217">
        <v>0.9150694444444445</v>
      </c>
      <c r="G28" t="s" s="214">
        <v>36</v>
      </c>
      <c r="H28" s="36">
        <v>1</v>
      </c>
      <c r="I28" s="24">
        <f t="shared" si="7"/>
      </c>
      <c r="J28" s="65">
        <f t="shared" si="3"/>
      </c>
      <c r="K28" s="68">
        <f t="shared" si="4"/>
      </c>
      <c r="L28" t="s" s="125">
        <v>56</v>
      </c>
      <c r="M28" s="126"/>
      <c r="N28" s="215"/>
      <c r="P28" s="72">
        <f t="shared" si="0"/>
      </c>
      <c r="Q28" s="72">
        <f t="shared" si="1"/>
      </c>
      <c r="R28" s="4">
        <f t="shared" si="5"/>
      </c>
    </row>
    <row r="29" spans="2:18" s="4" customFormat="1" ht="15">
      <c r="B29" s="5">
        <v>24</v>
      </c>
      <c r="C29" s="73">
        <f t="shared" si="6"/>
      </c>
      <c r="D29" s="32">
        <f t="shared" si="2"/>
      </c>
      <c r="E29" s="220">
        <v>0.3572800925925926</v>
      </c>
      <c r="F29" s="221">
        <v>0.6870949074074074</v>
      </c>
      <c r="G29" t="s" s="218">
        <v>32</v>
      </c>
      <c r="H29" s="36">
        <v>1</v>
      </c>
      <c r="I29" s="24">
        <f t="shared" si="7"/>
      </c>
      <c r="J29" s="65">
        <f t="shared" si="3"/>
      </c>
      <c r="K29" s="68">
        <f t="shared" si="4"/>
      </c>
      <c r="L29" t="s" s="125">
        <v>56</v>
      </c>
      <c r="M29" s="126"/>
      <c r="N29" s="219"/>
      <c r="P29" s="72">
        <f t="shared" si="0"/>
      </c>
      <c r="Q29" s="72">
        <f t="shared" si="1"/>
      </c>
      <c r="R29" s="4">
        <f t="shared" si="5"/>
      </c>
    </row>
    <row r="30" spans="2:18" s="4" customFormat="1" ht="15">
      <c r="B30" s="5">
        <v>25</v>
      </c>
      <c r="C30" s="73">
        <f t="shared" si="6"/>
      </c>
      <c r="D30" s="32">
        <f t="shared" si="2"/>
      </c>
      <c r="E30" s="224">
        <v>0.3669791666666667</v>
      </c>
      <c r="F30" s="225">
        <v>0.8810532407407408</v>
      </c>
      <c r="G30" t="s" s="222">
        <v>36</v>
      </c>
      <c r="H30" s="36">
        <v>1</v>
      </c>
      <c r="I30" s="24">
        <f t="shared" si="7"/>
      </c>
      <c r="J30" s="65">
        <f t="shared" si="3"/>
      </c>
      <c r="K30" s="68">
        <f t="shared" si="4"/>
      </c>
      <c r="L30" t="s" s="125">
        <v>56</v>
      </c>
      <c r="M30" s="126"/>
      <c r="N30" s="223"/>
      <c r="P30" s="72">
        <f t="shared" si="0"/>
      </c>
      <c r="Q30" s="72">
        <f t="shared" si="1"/>
      </c>
      <c r="R30" s="4">
        <f t="shared" si="5"/>
      </c>
    </row>
    <row r="31" spans="2:18" s="4" customFormat="1" ht="15">
      <c r="B31" s="5">
        <v>26</v>
      </c>
      <c r="C31" s="73">
        <f t="shared" si="6"/>
      </c>
      <c r="D31" s="32">
        <f t="shared" si="2"/>
      </c>
      <c r="E31" s="69"/>
      <c r="F31" s="69"/>
      <c r="G31" t="s" s="226">
        <v>29</v>
      </c>
      <c r="H31" s="36"/>
      <c r="I31" s="24">
        <f t="shared" si="7"/>
      </c>
      <c r="J31" s="65">
        <f t="shared" si="3"/>
      </c>
      <c r="K31" s="68">
        <f t="shared" si="4"/>
      </c>
      <c r="L31" s="125"/>
      <c r="M31" s="126"/>
      <c r="N31" t="s" s="227">
        <v>57</v>
      </c>
      <c r="P31" s="72">
        <f t="shared" si="0"/>
      </c>
      <c r="Q31" s="72">
        <f t="shared" si="1"/>
      </c>
      <c r="R31" s="4">
        <f t="shared" si="5"/>
      </c>
    </row>
    <row r="32" spans="2:18" s="4" customFormat="1" ht="15">
      <c r="B32" s="5">
        <v>27</v>
      </c>
      <c r="C32" s="73">
        <f t="shared" si="6"/>
      </c>
      <c r="D32" s="32">
        <f t="shared" si="2"/>
      </c>
      <c r="E32" s="230">
        <v>0.36635416666666665</v>
      </c>
      <c r="F32" s="231">
        <v>0.8014583333333334</v>
      </c>
      <c r="G32" t="s" s="228">
        <v>36</v>
      </c>
      <c r="H32" s="36">
        <v>1</v>
      </c>
      <c r="I32" s="24">
        <f t="shared" si="7"/>
      </c>
      <c r="J32" s="65">
        <f t="shared" si="3"/>
      </c>
      <c r="K32" s="68">
        <f t="shared" si="4"/>
      </c>
      <c r="L32" t="s" s="125">
        <v>56</v>
      </c>
      <c r="M32" s="126"/>
      <c r="N32" s="229"/>
      <c r="P32" s="72">
        <f t="shared" si="0"/>
      </c>
      <c r="Q32" s="72">
        <f t="shared" si="1"/>
      </c>
      <c r="R32" s="4">
        <f t="shared" si="5"/>
      </c>
    </row>
    <row r="33" spans="2:18" s="4" customFormat="1" ht="15">
      <c r="B33" s="5">
        <v>28</v>
      </c>
      <c r="C33" s="73">
        <f t="shared" si="6"/>
      </c>
      <c r="D33" s="32">
        <f t="shared" si="2"/>
      </c>
      <c r="E33" s="234">
        <v>0.36498842592592595</v>
      </c>
      <c r="F33" s="235">
        <v>0.8249652777777777</v>
      </c>
      <c r="G33" t="s" s="232">
        <v>36</v>
      </c>
      <c r="H33" s="36">
        <v>1</v>
      </c>
      <c r="I33" s="24">
        <f t="shared" si="7"/>
      </c>
      <c r="J33" s="65">
        <f t="shared" si="3"/>
      </c>
      <c r="K33" s="68">
        <f t="shared" si="4"/>
      </c>
      <c r="L33" t="s" s="125">
        <v>56</v>
      </c>
      <c r="M33" s="126"/>
      <c r="N33" s="233"/>
      <c r="P33" s="72">
        <f t="shared" si="0"/>
      </c>
      <c r="Q33" s="72">
        <f t="shared" si="1"/>
      </c>
      <c r="R33" s="4">
        <f t="shared" si="5"/>
      </c>
    </row>
    <row r="34" spans="2:18" s="4" customFormat="1" ht="15">
      <c r="B34" s="5">
        <v>29</v>
      </c>
      <c r="C34" s="73">
        <f>IF(C33=N4,"",C33+1)</f>
      </c>
      <c r="D34" s="32">
        <f t="shared" si="2"/>
      </c>
      <c r="E34" s="238">
        <v>0.3610763888888889</v>
      </c>
      <c r="F34" s="239">
        <v>0.7517592592592592</v>
      </c>
      <c r="G34" t="s" s="236">
        <v>36</v>
      </c>
      <c r="H34" s="36">
        <v>1</v>
      </c>
      <c r="I34" s="24">
        <f t="shared" si="7"/>
      </c>
      <c r="J34" s="65">
        <f t="shared" si="3"/>
      </c>
      <c r="K34" s="68">
        <f t="shared" si="4"/>
      </c>
      <c r="L34" t="s" s="125">
        <v>56</v>
      </c>
      <c r="M34" s="126"/>
      <c r="N34" s="237"/>
      <c r="P34" s="72">
        <f t="shared" si="0"/>
      </c>
      <c r="Q34" s="72">
        <f t="shared" si="1"/>
      </c>
      <c r="R34" s="4">
        <f t="shared" si="5"/>
      </c>
    </row>
    <row r="35" spans="2:18" s="4" customFormat="1" ht="15">
      <c r="B35" s="5">
        <v>30</v>
      </c>
      <c r="C35" s="73">
        <f>IF(N42="Feb","",(C34+1))</f>
      </c>
      <c r="D35" s="32">
        <f t="shared" si="2"/>
      </c>
      <c r="E35" s="242">
        <v>0.33019675925925923</v>
      </c>
      <c r="F35" s="243">
        <v>0.6999305555555555</v>
      </c>
      <c r="G35" t="s" s="240">
        <v>32</v>
      </c>
      <c r="H35" s="36">
        <v>1</v>
      </c>
      <c r="I35" s="24">
        <f t="shared" si="7"/>
      </c>
      <c r="J35" s="65">
        <f t="shared" si="3"/>
      </c>
      <c r="K35" s="68">
        <f t="shared" si="4"/>
      </c>
      <c r="L35" t="s" s="125">
        <v>56</v>
      </c>
      <c r="M35" s="126"/>
      <c r="N35" s="241"/>
      <c r="P35" s="72">
        <f t="shared" si="0"/>
      </c>
      <c r="Q35" s="72">
        <f t="shared" si="1"/>
      </c>
      <c r="R35" s="4">
        <f t="shared" si="5"/>
      </c>
    </row>
    <row r="36" spans="2:18" s="4" customFormat="1" ht="15">
      <c r="B36" s="5">
        <v>31</v>
      </c>
      <c r="C36" s="73">
        <f>IF(OR(N42="Jan",N42="Mar",N42="May",N42="Jul",N42="Aug",N42="Oct",N42="Dec"),C35+1,"")</f>
      </c>
      <c r="D36" s="32">
        <f t="shared" si="2"/>
      </c>
      <c r="E36" s="69"/>
      <c r="F36" s="69"/>
      <c r="G36" s="33"/>
      <c r="H36" s="36"/>
      <c r="I36" s="24">
        <f t="shared" si="7"/>
      </c>
      <c r="J36" s="65">
        <f t="shared" si="3"/>
      </c>
      <c r="K36" s="68">
        <f t="shared" si="4"/>
      </c>
      <c r="L36" s="125"/>
      <c r="M36" s="126"/>
      <c r="N36" s="129"/>
      <c r="P36" s="72">
        <f>IF($G36="L",1,IF($G36="S",0.5,0))</f>
      </c>
      <c r="Q36" s="72">
        <f>IF(C36="",0,IF(G36="D",0.5,(1-J36)))</f>
      </c>
      <c r="R36" s="4">
        <f t="shared" si="5"/>
      </c>
    </row>
    <row r="37" spans="2:18" s="4" customFormat="1" ht="13.5">
      <c r="B37" s="25"/>
      <c r="C37" s="37"/>
      <c r="D37" s="26"/>
      <c r="E37" s="40"/>
      <c r="F37" s="40"/>
      <c r="G37" s="47"/>
      <c r="H37" s="48"/>
      <c r="I37" s="49"/>
      <c r="J37" s="41"/>
      <c r="K37" s="67"/>
      <c r="L37" s="67"/>
      <c r="M37" s="42"/>
      <c r="N37" s="43"/>
      <c r="P37" s="34"/>
      <c r="Q37" s="34"/>
    </row>
    <row r="38" spans="2:18">
      <c r="B38" t="s" s="78">
        <v>27</v>
      </c>
      <c r="C38" s="79"/>
      <c r="D38" s="80"/>
      <c r="E38" s="80"/>
      <c r="F38" s="81"/>
      <c r="G38" s="50"/>
      <c r="H38" s="51"/>
      <c r="I38" s="52"/>
      <c r="J38" s="44">
        <f>SUM(J6:J37)</f>
      </c>
      <c r="K38" s="74">
        <f>SUM(K6:K37)</f>
      </c>
      <c r="L38" t="s" s="77">
        <v>28</v>
      </c>
      <c r="M38" s="77"/>
      <c r="N38" s="118"/>
      <c r="P38" s="34">
        <f>SUM(P6:P37)</f>
      </c>
      <c r="Q38" s="34">
        <f>SUM(Q6:Q37)</f>
      </c>
    </row>
    <row r="39" spans="2:18" ht="16.5" customHeight="1">
      <c r="B39" t="s" s="7">
        <v>29</v>
      </c>
      <c r="C39" t="s" s="82">
        <v>30</v>
      </c>
      <c r="D39" s="83"/>
      <c r="E39" s="83"/>
      <c r="F39" s="84"/>
      <c r="G39" s="53"/>
      <c r="I39" s="54"/>
      <c r="J39" s="45">
        <f>IF(AND(N41=31,J38&gt;24,J38&lt;31),0,IF(J38&lt;(N41/1.25),0,IF(OR(N42="Jan",N42="Mar",N42="May",N42="Jul",N42="Aug",N42="Oct",N42="Dec"),(-1),IF(N42&lt;&gt;"Feb",0,(30-N41)))))</f>
      </c>
      <c r="K39" t="s" s="38">
        <v>31</v>
      </c>
      <c r="L39" s="39"/>
      <c r="M39" s="22"/>
      <c r="N39" s="21">
        <f>IF((#REF!*24-#REF!-K38)&lt;=0,0,(#REF!*24-#REF!-K38)/24)</f>
      </c>
      <c r="P39" s="23"/>
      <c r="Q39" s="23"/>
    </row>
    <row r="40" spans="2:18" ht="16.350000000000001" customHeight="1">
      <c r="B40" t="s" s="7">
        <v>32</v>
      </c>
      <c r="C40" t="s" s="82">
        <v>33</v>
      </c>
      <c r="D40" s="83"/>
      <c r="E40" s="83"/>
      <c r="F40" s="84"/>
      <c r="G40" s="55"/>
      <c r="H40" s="12"/>
      <c r="I40" s="56"/>
      <c r="J40" s="46">
        <f>SUM(J38:J39)</f>
      </c>
      <c r="K40" t="s" s="9">
        <v>34</v>
      </c>
      <c r="L40" s="15"/>
      <c r="M40" t="s" s="119">
        <v>35</v>
      </c>
      <c r="N40" s="120"/>
    </row>
    <row r="41" spans="2:18">
      <c r="B41" t="s" s="7">
        <v>36</v>
      </c>
      <c r="C41" t="s" s="82">
        <v>37</v>
      </c>
      <c r="D41" s="104"/>
      <c r="E41" s="83"/>
      <c r="F41" s="105"/>
      <c r="G41" s="6"/>
      <c r="H41" s="16">
        <f>J40</f>
      </c>
      <c r="I41" t="s" s="99">
        <v>38</v>
      </c>
      <c r="J41" s="100"/>
      <c r="K41" s="101"/>
      <c r="L41" s="17"/>
      <c r="M41" s="10"/>
      <c r="N41" s="30">
        <f>IF(OR(N42="Jan",N42="Mar",N42="May",N42="Jul",N42="Aug",N42="Oct",N42="Dec"),31,IF(N42&lt;&gt;"Feb",30,IF(C34="",28,29)))</f>
      </c>
    </row>
    <row r="42" spans="2:18">
      <c r="B42" t="s" s="7">
        <v>39</v>
      </c>
      <c r="C42" t="s" s="82">
        <v>40</v>
      </c>
      <c r="D42" s="83"/>
      <c r="E42" s="83"/>
      <c r="F42" s="105"/>
      <c r="G42" s="6"/>
      <c r="H42" s="16">
        <v>0</v>
      </c>
      <c r="I42" t="s" s="99">
        <v>41</v>
      </c>
      <c r="J42" s="102"/>
      <c r="K42" s="103"/>
      <c r="L42" s="18"/>
      <c r="M42" s="10"/>
      <c r="N42" s="31">
        <f>TEXT(L4,"mmm")</f>
      </c>
    </row>
    <row r="43" spans="2:18">
      <c r="B43" t="s" s="7">
        <v>42</v>
      </c>
      <c r="C43" t="s" s="82">
        <v>24</v>
      </c>
      <c r="D43" s="83"/>
      <c r="E43" s="83"/>
      <c r="F43" s="105"/>
      <c r="G43" s="6"/>
      <c r="H43" s="16">
        <v>0</v>
      </c>
      <c r="I43" t="s" s="99">
        <v>43</v>
      </c>
      <c r="J43" s="102"/>
      <c r="K43" s="103"/>
      <c r="L43" s="18"/>
      <c r="M43" s="10"/>
      <c r="N43" t="s" s="106">
        <v>44</v>
      </c>
    </row>
    <row r="44" spans="2:18">
      <c r="B44" t="s" s="7">
        <v>45</v>
      </c>
      <c r="C44" t="s" s="82">
        <v>46</v>
      </c>
      <c r="D44" s="83"/>
      <c r="E44" s="83"/>
      <c r="F44" s="105"/>
      <c r="G44" s="6"/>
      <c r="H44" s="19">
        <f>J40-H41-H42-H43</f>
      </c>
      <c r="I44" t="s" s="115">
        <v>47</v>
      </c>
      <c r="J44" s="116"/>
      <c r="K44" s="117"/>
      <c r="L44" s="20"/>
      <c r="M44" s="10"/>
      <c r="N44" s="107"/>
    </row>
    <row r="45" spans="2:18">
      <c r="B45" t="s" s="7">
        <v>48</v>
      </c>
      <c r="C45" t="s" s="82">
        <v>49</v>
      </c>
      <c r="D45" s="83"/>
      <c r="E45" s="83"/>
      <c r="F45" s="105"/>
      <c r="G45" s="6"/>
      <c r="H45" s="16">
        <f>P38</f>
      </c>
      <c r="I45" t="s" s="99">
        <v>24</v>
      </c>
      <c r="J45" s="102"/>
      <c r="K45" s="103"/>
      <c r="L45" s="18"/>
      <c r="M45" s="10"/>
      <c r="N45" s="107"/>
    </row>
    <row r="46" spans="2:18">
      <c r="B46" t="s" s="11">
        <v>50</v>
      </c>
      <c r="C46" t="s" s="112">
        <v>51</v>
      </c>
      <c r="D46" s="113"/>
      <c r="E46" s="113"/>
      <c r="F46" s="114"/>
      <c r="G46" s="12"/>
      <c r="H46" s="19">
        <f>Q38</f>
      </c>
      <c r="I46" t="s" s="109">
        <v>25</v>
      </c>
      <c r="J46" s="110"/>
      <c r="K46" s="111"/>
      <c r="L46" s="20"/>
      <c r="M46" s="13"/>
      <c r="N46" s="108"/>
    </row>
    <row r="49" ht="15" customHeight="1"/>
  </sheetData>
  <mergeCells count="57">
    <mergeCell ref="L32:M32"/>
    <mergeCell ref="L33:M33"/>
    <mergeCell ref="L34:M34"/>
    <mergeCell ref="L35:M35"/>
    <mergeCell ref="L36:M36"/>
    <mergeCell ref="L27:M27"/>
    <mergeCell ref="L28:M28"/>
    <mergeCell ref="L29:M29"/>
    <mergeCell ref="L30:M30"/>
    <mergeCell ref="L31:M31"/>
    <mergeCell ref="L22:M22"/>
    <mergeCell ref="L23:M23"/>
    <mergeCell ref="L24:M24"/>
    <mergeCell ref="L25:M25"/>
    <mergeCell ref="L26:M26"/>
    <mergeCell ref="L17:M17"/>
    <mergeCell ref="L18:M18"/>
    <mergeCell ref="L19:M19"/>
    <mergeCell ref="L20:M20"/>
    <mergeCell ref="L21:M21"/>
    <mergeCell ref="L12:M12"/>
    <mergeCell ref="L13:M13"/>
    <mergeCell ref="L14:M14"/>
    <mergeCell ref="L15:M15"/>
    <mergeCell ref="L16:M16"/>
    <mergeCell ref="L7:M7"/>
    <mergeCell ref="L8:M8"/>
    <mergeCell ref="L9:M9"/>
    <mergeCell ref="L10:M10"/>
    <mergeCell ref="L11:M11"/>
    <mergeCell ref="M40:N40"/>
    <mergeCell ref="I41:K41"/>
    <mergeCell ref="I42:K42"/>
    <mergeCell ref="I43:K43"/>
    <mergeCell ref="C41:F41"/>
    <mergeCell ref="C40:F40"/>
    <mergeCell ref="C42:F42"/>
    <mergeCell ref="C43:F43"/>
    <mergeCell ref="N43:N46"/>
    <mergeCell ref="C44:F44"/>
    <mergeCell ref="C45:F45"/>
    <mergeCell ref="I45:K45"/>
    <mergeCell ref="I46:K46"/>
    <mergeCell ref="C46:F46"/>
    <mergeCell ref="I44:K44"/>
    <mergeCell ref="B1:N1"/>
    <mergeCell ref="B38:F38"/>
    <mergeCell ref="C39:F39"/>
    <mergeCell ref="B4:C4"/>
    <mergeCell ref="D4:E4"/>
    <mergeCell ref="G4:I4"/>
    <mergeCell ref="B2:N2"/>
    <mergeCell ref="J4:K4"/>
    <mergeCell ref="B3:K3"/>
    <mergeCell ref="L38:N38"/>
    <mergeCell ref="L5:M5"/>
    <mergeCell ref="L6:M6"/>
  </mergeCells>
  <conditionalFormatting sqref="F37:M37 H41:H43 J40">
    <cfRule type="cellIs" dxfId="100" priority="393" operator="equal">
      <formula>0</formula>
    </cfRule>
  </conditionalFormatting>
  <conditionalFormatting sqref="F37:M37">
    <cfRule type="cellIs" dxfId="99" priority="388" operator="equal">
      <formula>0</formula>
    </cfRule>
    <cfRule type="cellIs" dxfId="98" priority="389" operator="equal">
      <formula>0</formula>
    </cfRule>
    <cfRule type="cellIs" dxfId="97" priority="410" operator="equal">
      <formula>0</formula>
    </cfRule>
    <cfRule type="cellIs" dxfId="96" priority="419" operator="equal">
      <formula>0</formula>
    </cfRule>
    <cfRule type="cellIs" dxfId="95" priority="420" operator="equal">
      <formula>0</formula>
    </cfRule>
  </conditionalFormatting>
  <conditionalFormatting sqref="G6:G36">
    <cfRule type="cellIs" dxfId="94" priority="140" operator="equal">
      <formula>0</formula>
    </cfRule>
    <cfRule type="cellIs" dxfId="93" priority="141" operator="equal">
      <formula>0</formula>
    </cfRule>
    <cfRule type="cellIs" dxfId="92" priority="145" operator="equal">
      <formula>0</formula>
    </cfRule>
    <cfRule type="cellIs" dxfId="91" priority="148" operator="equal">
      <formula>0</formula>
    </cfRule>
    <cfRule type="cellIs" dxfId="90" priority="152" operator="equal">
      <formula>0</formula>
    </cfRule>
    <cfRule type="cellIs" dxfId="89" priority="154" operator="equal">
      <formula>0</formula>
    </cfRule>
    <cfRule type="cellIs" dxfId="88" priority="157" operator="equal">
      <formula>0</formula>
    </cfRule>
    <cfRule type="cellIs" dxfId="87" priority="161" operator="equal">
      <formula>0</formula>
    </cfRule>
    <cfRule type="cellIs" dxfId="86" priority="162" operator="equal">
      <formula>0</formula>
    </cfRule>
    <cfRule type="cellIs" dxfId="85" priority="163" operator="equal">
      <formula>0</formula>
    </cfRule>
    <cfRule type="cellIs" dxfId="84" priority="164" operator="equal">
      <formula>0</formula>
    </cfRule>
  </conditionalFormatting>
  <conditionalFormatting sqref="G7:G36">
    <cfRule type="cellIs" dxfId="83" priority="160" operator="equal">
      <formula>0</formula>
    </cfRule>
  </conditionalFormatting>
  <conditionalFormatting sqref="G14:G36">
    <cfRule type="cellIs" dxfId="82" priority="138" operator="equal">
      <formula>0</formula>
    </cfRule>
    <cfRule type="cellIs" dxfId="81" priority="139" operator="equal">
      <formula>0</formula>
    </cfRule>
  </conditionalFormatting>
  <conditionalFormatting sqref="G17">
    <cfRule type="cellIs" dxfId="80" priority="151" operator="equal">
      <formula>0</formula>
    </cfRule>
    <cfRule type="cellIs" dxfId="79" priority="158" operator="equal">
      <formula>0</formula>
    </cfRule>
  </conditionalFormatting>
  <conditionalFormatting sqref="G20:G35">
    <cfRule type="cellIs" dxfId="78" priority="150" operator="equal">
      <formula>0</formula>
    </cfRule>
  </conditionalFormatting>
  <conditionalFormatting sqref="G6:H13 G7:G36">
    <cfRule type="cellIs" dxfId="77" priority="125" operator="equal">
      <formula>0</formula>
    </cfRule>
    <cfRule type="cellIs" dxfId="76" priority="126" operator="equal">
      <formula>0</formula>
    </cfRule>
  </conditionalFormatting>
  <conditionalFormatting sqref="G6:I36">
    <cfRule type="cellIs" dxfId="75" priority="159" operator="equal">
      <formula>0</formula>
    </cfRule>
  </conditionalFormatting>
  <conditionalFormatting sqref="H6:H13">
    <cfRule type="cellIs" dxfId="74" priority="134" operator="equal">
      <formula>0</formula>
    </cfRule>
  </conditionalFormatting>
  <conditionalFormatting sqref="H6:H16">
    <cfRule type="cellIs" dxfId="73" priority="131" operator="equal">
      <formula>0</formula>
    </cfRule>
  </conditionalFormatting>
  <conditionalFormatting sqref="H6:H36">
    <cfRule type="cellIs" dxfId="72" priority="127" operator="equal">
      <formula>0</formula>
    </cfRule>
    <cfRule type="cellIs" dxfId="71" priority="128" operator="equal">
      <formula>0</formula>
    </cfRule>
    <cfRule type="cellIs" dxfId="70" priority="130" operator="equal">
      <formula>0</formula>
    </cfRule>
    <cfRule type="cellIs" dxfId="69" priority="133" operator="equal">
      <formula>0</formula>
    </cfRule>
    <cfRule type="cellIs" dxfId="68" priority="135" operator="equal">
      <formula>0</formula>
    </cfRule>
  </conditionalFormatting>
  <conditionalFormatting sqref="H6:H37">
    <cfRule type="cellIs" dxfId="67" priority="136" operator="equal">
      <formula>0</formula>
    </cfRule>
    <cfRule type="cellIs" dxfId="66" priority="137" operator="equal">
      <formula>0</formula>
    </cfRule>
  </conditionalFormatting>
  <conditionalFormatting sqref="H18:H36">
    <cfRule type="cellIs" dxfId="65" priority="132" operator="equal">
      <formula>0</formula>
    </cfRule>
  </conditionalFormatting>
  <conditionalFormatting sqref="H37">
    <cfRule type="cellIs" dxfId="64" priority="380" operator="equal">
      <formula>0</formula>
    </cfRule>
    <cfRule type="cellIs" dxfId="63" priority="381" operator="equal">
      <formula>0</formula>
    </cfRule>
    <cfRule type="cellIs" dxfId="62" priority="382" operator="equal">
      <formula>0</formula>
    </cfRule>
    <cfRule type="cellIs" dxfId="61" priority="383" operator="equal">
      <formula>0</formula>
    </cfRule>
  </conditionalFormatting>
  <conditionalFormatting sqref="H41:H42">
    <cfRule type="cellIs" dxfId="60" priority="266" operator="equal">
      <formula>0</formula>
    </cfRule>
    <cfRule type="cellIs" dxfId="59" priority="267" operator="equal">
      <formula>0</formula>
    </cfRule>
    <cfRule type="cellIs" dxfId="58" priority="270" operator="equal">
      <formula>0</formula>
    </cfRule>
    <cfRule type="cellIs" dxfId="57" priority="271" operator="equal">
      <formula>0</formula>
    </cfRule>
  </conditionalFormatting>
  <conditionalFormatting sqref="H41:H43">
    <cfRule type="cellIs" dxfId="56" priority="272" operator="equal">
      <formula>0</formula>
    </cfRule>
    <cfRule type="cellIs" dxfId="55" priority="286" operator="equal">
      <formula>0</formula>
    </cfRule>
  </conditionalFormatting>
  <conditionalFormatting sqref="H41:H46">
    <cfRule type="cellIs" dxfId="54" priority="169" operator="equal">
      <formula>0</formula>
    </cfRule>
  </conditionalFormatting>
  <conditionalFormatting sqref="H44">
    <cfRule type="cellIs" dxfId="53" priority="263" operator="lessThan">
      <formula>0</formula>
    </cfRule>
  </conditionalFormatting>
  <conditionalFormatting sqref="H44:H46">
    <cfRule type="cellIs" dxfId="52" priority="165" operator="equal">
      <formula>0</formula>
    </cfRule>
    <cfRule type="cellIs" dxfId="51" priority="166" operator="equal">
      <formula>0</formula>
    </cfRule>
    <cfRule type="cellIs" dxfId="50" priority="167" operator="equal">
      <formula>0</formula>
    </cfRule>
    <cfRule type="cellIs" dxfId="49" priority="168" operator="equal">
      <formula>0</formula>
    </cfRule>
  </conditionalFormatting>
  <conditionalFormatting sqref="H6:I36">
    <cfRule type="cellIs" dxfId="48" priority="129" operator="equal">
      <formula>0</formula>
    </cfRule>
  </conditionalFormatting>
  <conditionalFormatting sqref="I6:I36">
    <cfRule type="cellIs" dxfId="47" priority="236" operator="equal">
      <formula>0</formula>
    </cfRule>
    <cfRule type="cellIs" dxfId="46" priority="237" operator="equal">
      <formula>0</formula>
    </cfRule>
    <cfRule type="cellIs" dxfId="45" priority="238" operator="equal">
      <formula>0</formula>
    </cfRule>
    <cfRule type="cellIs" dxfId="44" priority="239" operator="equal">
      <formula>0</formula>
    </cfRule>
    <cfRule type="cellIs" dxfId="43" priority="240" operator="equal">
      <formula>0</formula>
    </cfRule>
    <cfRule type="cellIs" dxfId="42" priority="241" operator="equal">
      <formula>0</formula>
    </cfRule>
    <cfRule type="cellIs" dxfId="41" priority="242" operator="equal">
      <formula>0</formula>
    </cfRule>
    <cfRule type="cellIs" dxfId="40" priority="243" operator="equal">
      <formula>0</formula>
    </cfRule>
    <cfRule type="cellIs" dxfId="39" priority="244" operator="equal">
      <formula>0</formula>
    </cfRule>
    <cfRule type="cellIs" dxfId="38" priority="245" operator="equal">
      <formula>0</formula>
    </cfRule>
    <cfRule type="cellIs" dxfId="37" priority="246" operator="equal">
      <formula>0</formula>
    </cfRule>
    <cfRule type="cellIs" dxfId="36" priority="247" operator="equal">
      <formula>0</formula>
    </cfRule>
    <cfRule type="cellIs" dxfId="35" priority="248" operator="equal">
      <formula>0</formula>
    </cfRule>
    <cfRule type="cellIs" dxfId="34" priority="249" operator="equal">
      <formula>0</formula>
    </cfRule>
    <cfRule type="cellIs" dxfId="33" priority="250" operator="equal">
      <formula>0</formula>
    </cfRule>
    <cfRule type="cellIs" dxfId="32" priority="251" operator="equal">
      <formula>0</formula>
    </cfRule>
    <cfRule type="cellIs" dxfId="31" priority="252" operator="equal">
      <formula>0</formula>
    </cfRule>
    <cfRule type="cellIs" dxfId="30" priority="253" operator="equal">
      <formula>0</formula>
    </cfRule>
    <cfRule type="cellIs" dxfId="29" priority="254" operator="equal">
      <formula>0</formula>
    </cfRule>
    <cfRule type="cellIs" dxfId="28" priority="255" operator="equal">
      <formula>0</formula>
    </cfRule>
    <cfRule type="cellIs" dxfId="27" priority="256" operator="equal">
      <formula>0</formula>
    </cfRule>
    <cfRule type="cellIs" dxfId="26" priority="257" operator="equal">
      <formula>0</formula>
    </cfRule>
    <cfRule type="cellIs" dxfId="25" priority="258" operator="equal">
      <formula>0</formula>
    </cfRule>
    <cfRule type="cellIs" dxfId="24" priority="259" operator="equal">
      <formula>0</formula>
    </cfRule>
    <cfRule type="cellIs" dxfId="23" priority="260" operator="equal">
      <formula>0</formula>
    </cfRule>
    <cfRule type="cellIs" dxfId="22" priority="261" operator="equal">
      <formula>0</formula>
    </cfRule>
  </conditionalFormatting>
  <conditionalFormatting sqref="J38">
    <cfRule type="cellIs" dxfId="21" priority="97" operator="equal">
      <formula>0</formula>
    </cfRule>
    <cfRule type="cellIs" dxfId="20" priority="98" operator="equal">
      <formula>0</formula>
    </cfRule>
  </conditionalFormatting>
  <conditionalFormatting sqref="J38:J39">
    <cfRule type="cellIs" dxfId="19" priority="99" operator="equal">
      <formula>0</formula>
    </cfRule>
  </conditionalFormatting>
  <conditionalFormatting sqref="J39">
    <cfRule type="cellIs" dxfId="18" priority="231" operator="equal">
      <formula>0</formula>
    </cfRule>
    <cfRule type="cellIs" dxfId="17" priority="232" operator="equal">
      <formula>0</formula>
    </cfRule>
    <cfRule type="cellIs" dxfId="16" priority="233" operator="equal">
      <formula>0</formula>
    </cfRule>
  </conditionalFormatting>
  <conditionalFormatting sqref="J39:J40 H41:H42">
    <cfRule type="cellIs" dxfId="15" priority="265" operator="equal">
      <formula>0</formula>
    </cfRule>
  </conditionalFormatting>
  <conditionalFormatting sqref="J39:J40">
    <cfRule type="cellIs" dxfId="14" priority="234" operator="equal">
      <formula>0</formula>
    </cfRule>
  </conditionalFormatting>
  <conditionalFormatting sqref="K6:K36">
    <cfRule type="cellIs" dxfId="13" priority="274" operator="equal">
      <formula>0</formula>
    </cfRule>
    <cfRule type="cellIs" dxfId="12" priority="275" operator="equal">
      <formula>0</formula>
    </cfRule>
    <cfRule type="cellIs" dxfId="11" priority="276" operator="equal">
      <formula>0</formula>
    </cfRule>
    <cfRule type="cellIs" dxfId="10" priority="277" operator="equal">
      <formula>0</formula>
    </cfRule>
    <cfRule type="cellIs" dxfId="9" priority="278" operator="equal">
      <formula>0</formula>
    </cfRule>
    <cfRule type="cellIs" dxfId="8" priority="279" operator="equal">
      <formula>0</formula>
    </cfRule>
    <cfRule type="cellIs" dxfId="7" priority="280" operator="equal">
      <formula>0</formula>
    </cfRule>
    <cfRule type="cellIs" dxfId="6" priority="282" operator="equal">
      <formula>0</formula>
    </cfRule>
    <cfRule type="cellIs" dxfId="5" priority="283" operator="equal">
      <formula>0</formula>
    </cfRule>
    <cfRule type="cellIs" dxfId="4" priority="284" operator="equal">
      <formula>0</formula>
    </cfRule>
    <cfRule type="cellIs" dxfId="3" priority="285" operator="equal">
      <formula>0</formula>
    </cfRule>
    <cfRule type="cellIs" dxfId="2" priority="379" operator="equal">
      <formula>0</formula>
    </cfRule>
  </conditionalFormatting>
  <conditionalFormatting sqref="K6:K36">
    <cfRule type="cellIs" dxfId="1" priority="83" operator="equal">
      <formula>0</formula>
    </cfRule>
  </conditionalFormatting>
  <conditionalFormatting sqref="L44">
    <cfRule type="cellIs" dxfId="0" priority="264" operator="lessThan">
      <formula>0</formula>
    </cfRule>
  </conditionalFormatting>
  <dataValidations count="2">
    <dataValidation type="date" errorStyle="warning" operator="lessThan" allowBlank="1" showInputMessage="1" showErrorMessage="1" errorTitle="Wrong Input" error="Check and Confirm" promptTitle="Input guide" prompt="For exit time past midnight, add 24:00:00 For example, exit on next day 6AM will be 24+6 = 30:00:00. Display will continue to be in 24h format._x000a_" sqref="F6:F36" xr:uid="{00000000-0002-0000-1100-000000000000}">
      <formula1>3</formula1>
    </dataValidation>
    <dataValidation type="textLength" errorStyle="information" allowBlank="1" showInputMessage="1" showErrorMessage="1" errorTitle="INPUT ERROR" error="WRONG INPUT" promptTitle="Input Help" prompt="H: Holiday_x000a_W: Normal working Day_x000a_P: Present (see Legends)_x000a_C: Continuous Duty_x000a_L: Leave_x000a_S: Short duty / Half day leave_x000a_D: Demi / Half day absent_x000a_A: Absent" sqref="G6:G36" xr:uid="{00000000-0002-0000-1100-000001000000}">
      <formula1>0</formula1>
      <formula2>1</formula2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r:id="rId1"/>
  <headerFooter>
    <oddHeader>&amp;LSHYCI Technologies Private Limited</oddHeader>
    <oddFooter>&amp;L&amp;A&amp;R&amp;P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chowd</dc:creator>
  <cp:keywords/>
  <dc:description/>
  <cp:lastModifiedBy/>
  <cp:revision/>
  <dcterms:created xsi:type="dcterms:W3CDTF">2023-05-21T13:58:00Z</dcterms:created>
  <dcterms:modified xsi:type="dcterms:W3CDTF">2026-05-10T07:53:11Z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777CCFDEFA1F450799BBAFDEFFD49CEA_13</vt:lpwstr>
  </property>
  <property fmtid="{D5CDD505-2E9C-101B-9397-08002B2CF9AE}" pid="3" name="KSOProductBuildVer">
    <vt:lpwstr>1033-12.2.0.17562</vt:lpwstr>
  </property>
</Properties>
</file>